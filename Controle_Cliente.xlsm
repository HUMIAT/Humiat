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rdel\Desktop\"/>
    </mc:Choice>
  </mc:AlternateContent>
  <xr:revisionPtr revIDLastSave="0" documentId="13_ncr:1_{03222174-53BB-44AB-85C3-CD9C9ED9C14A}" xr6:coauthVersionLast="36" xr6:coauthVersionMax="36" xr10:uidLastSave="{00000000-0000-0000-0000-000000000000}"/>
  <bookViews>
    <workbookView xWindow="0" yWindow="0" windowWidth="28800" windowHeight="12105" activeTab="2" xr2:uid="{00000000-000D-0000-FFFF-FFFF00000000}"/>
  </bookViews>
  <sheets>
    <sheet name="PACOTES" sheetId="8" r:id="rId1"/>
    <sheet name="CADASTRO" sheetId="1" r:id="rId2"/>
    <sheet name="EQUIPAMENTOS" sheetId="2" r:id="rId3"/>
    <sheet name="GRÁFICO VENDAS" sheetId="3" r:id="rId4"/>
    <sheet name="MACRO_FILTRO" sheetId="6" r:id="rId5"/>
  </sheets>
  <definedNames>
    <definedName name="_xlnm._FilterDatabase" localSheetId="1" hidden="1">CADASTRO!$A$1:$H$562</definedName>
  </definedNames>
  <calcPr calcId="179021"/>
</workbook>
</file>

<file path=xl/calcChain.xml><?xml version="1.0" encoding="utf-8"?>
<calcChain xmlns="http://schemas.openxmlformats.org/spreadsheetml/2006/main">
  <c r="I831" i="2" l="1"/>
  <c r="D569" i="1"/>
  <c r="G569" i="1"/>
  <c r="G567" i="1"/>
  <c r="G568" i="1"/>
  <c r="D567" i="1"/>
  <c r="D568" i="1"/>
  <c r="D566" i="1"/>
  <c r="G566" i="1"/>
  <c r="G565" i="1"/>
  <c r="D565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4" i="1"/>
  <c r="G3" i="1"/>
  <c r="G2" i="1"/>
  <c r="I2" i="2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44" i="1"/>
  <c r="D45" i="1"/>
  <c r="D46" i="1"/>
  <c r="D47" i="1"/>
  <c r="D48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3" i="1"/>
  <c r="D4" i="1"/>
  <c r="D5" i="1"/>
  <c r="D6" i="1"/>
  <c r="D7" i="1"/>
  <c r="D8" i="1"/>
  <c r="D9" i="1"/>
  <c r="D10" i="1"/>
  <c r="D11" i="1"/>
  <c r="D12" i="1"/>
  <c r="D2" i="1"/>
  <c r="I452" i="2" l="1"/>
  <c r="I799" i="2"/>
  <c r="I334" i="2"/>
  <c r="I770" i="2"/>
  <c r="I58" i="2"/>
  <c r="I802" i="2"/>
  <c r="I183" i="2"/>
  <c r="I470" i="2"/>
  <c r="I392" i="2"/>
  <c r="I594" i="2"/>
  <c r="I407" i="2"/>
  <c r="I440" i="2"/>
  <c r="I365" i="2"/>
  <c r="I682" i="2"/>
  <c r="I33" i="2"/>
  <c r="I409" i="2"/>
  <c r="I54" i="2"/>
  <c r="I94" i="2"/>
  <c r="I453" i="2"/>
  <c r="I40" i="2"/>
  <c r="I433" i="2"/>
  <c r="I316" i="2"/>
  <c r="I437" i="2"/>
  <c r="I26" i="2"/>
  <c r="I587" i="2"/>
  <c r="I588" i="2"/>
  <c r="I623" i="2"/>
  <c r="I654" i="2"/>
  <c r="I228" i="2"/>
  <c r="I286" i="2"/>
  <c r="I196" i="2"/>
  <c r="I323" i="2"/>
  <c r="I347" i="2"/>
  <c r="I454" i="2"/>
  <c r="I69" i="2"/>
  <c r="I792" i="2"/>
  <c r="I87" i="2"/>
  <c r="I113" i="2"/>
  <c r="I405" i="2"/>
  <c r="I45" i="2"/>
  <c r="I431" i="2"/>
  <c r="I529" i="2"/>
  <c r="I571" i="2"/>
  <c r="I729" i="2"/>
  <c r="I129" i="2"/>
  <c r="I280" i="2"/>
  <c r="I83" i="2"/>
  <c r="I281" i="2"/>
  <c r="I32" i="2"/>
  <c r="I51" i="2"/>
  <c r="I503" i="2"/>
  <c r="I793" i="2"/>
  <c r="I27" i="2"/>
  <c r="I317" i="2"/>
  <c r="I538" i="2"/>
  <c r="I162" i="2"/>
  <c r="I172" i="2"/>
  <c r="I52" i="2"/>
  <c r="I95" i="2"/>
  <c r="I99" i="2"/>
  <c r="I14" i="2"/>
  <c r="I89" i="2"/>
  <c r="I101" i="2"/>
  <c r="I102" i="2"/>
  <c r="I109" i="2"/>
  <c r="I201" i="2"/>
  <c r="I445" i="2"/>
  <c r="I432" i="2"/>
  <c r="I811" i="2"/>
  <c r="I105" i="2"/>
  <c r="I141" i="2"/>
  <c r="I820" i="2"/>
  <c r="I421" i="2"/>
  <c r="I608" i="2"/>
  <c r="I110" i="2"/>
  <c r="I635" i="2"/>
  <c r="I651" i="2"/>
  <c r="I652" i="2"/>
  <c r="I732" i="2"/>
  <c r="I310" i="2"/>
  <c r="I777" i="2"/>
  <c r="I18" i="2"/>
  <c r="I44" i="2"/>
  <c r="I114" i="2"/>
  <c r="I115" i="2"/>
  <c r="I42" i="2"/>
  <c r="I372" i="2"/>
  <c r="I227" i="2"/>
  <c r="I679" i="2"/>
  <c r="I808" i="2"/>
  <c r="I464" i="2"/>
  <c r="I712" i="2"/>
  <c r="I383" i="2"/>
  <c r="I384" i="2"/>
  <c r="I446" i="2"/>
  <c r="I713" i="2"/>
  <c r="I344" i="2"/>
  <c r="I691" i="2"/>
  <c r="I318" i="2"/>
  <c r="I478" i="2"/>
  <c r="I554" i="2"/>
  <c r="I675" i="2"/>
  <c r="I775" i="2"/>
  <c r="I17" i="2"/>
  <c r="I142" i="2"/>
  <c r="I386" i="2"/>
  <c r="I231" i="2"/>
  <c r="I598" i="2"/>
  <c r="I273" i="2"/>
  <c r="I304" i="2"/>
  <c r="I501" i="2"/>
  <c r="I615" i="2"/>
  <c r="I620" i="2"/>
  <c r="I328" i="2"/>
  <c r="I385" i="2"/>
  <c r="I449" i="2"/>
  <c r="I471" i="2"/>
  <c r="I472" i="2"/>
  <c r="I499" i="2"/>
  <c r="I579" i="2"/>
  <c r="I630" i="2"/>
  <c r="I683" i="2"/>
  <c r="I340" i="2"/>
  <c r="I638" i="2"/>
  <c r="I662" i="2"/>
  <c r="I715" i="2"/>
  <c r="I15" i="2"/>
  <c r="I329" i="2"/>
  <c r="I563" i="2"/>
  <c r="I772" i="2"/>
  <c r="I63" i="2"/>
  <c r="I701" i="2"/>
  <c r="I733" i="2"/>
  <c r="I66" i="2"/>
  <c r="I465" i="2"/>
  <c r="I130" i="2"/>
  <c r="I131" i="2"/>
  <c r="I176" i="2"/>
  <c r="I177" i="2"/>
  <c r="I209" i="2"/>
  <c r="I211" i="2"/>
  <c r="I216" i="2"/>
  <c r="I217" i="2"/>
  <c r="I218" i="2"/>
  <c r="I219" i="2"/>
  <c r="I233" i="2"/>
  <c r="I250" i="2"/>
  <c r="I251" i="2"/>
  <c r="I275" i="2"/>
  <c r="I435" i="2"/>
  <c r="I509" i="2"/>
  <c r="I539" i="2"/>
  <c r="I545" i="2"/>
  <c r="I546" i="2"/>
  <c r="I826" i="2"/>
  <c r="I271" i="2"/>
  <c r="I338" i="2"/>
  <c r="I374" i="2"/>
  <c r="I596" i="2"/>
  <c r="I351" i="2"/>
  <c r="I428" i="2"/>
  <c r="I41" i="2"/>
  <c r="I394" i="2"/>
  <c r="I236" i="2"/>
  <c r="I438" i="2"/>
  <c r="I188" i="2"/>
  <c r="I245" i="2"/>
  <c r="I223" i="2"/>
  <c r="I656" i="2"/>
  <c r="I68" i="2"/>
  <c r="I420" i="2"/>
  <c r="I591" i="2"/>
  <c r="I698" i="2"/>
  <c r="I226" i="2"/>
  <c r="I564" i="2"/>
  <c r="I565" i="2"/>
  <c r="I702" i="2"/>
  <c r="I70" i="2"/>
  <c r="I240" i="2"/>
  <c r="I276" i="2"/>
  <c r="I375" i="2"/>
  <c r="I492" i="2"/>
  <c r="I821" i="2"/>
  <c r="I458" i="2"/>
  <c r="I569" i="2"/>
  <c r="I751" i="2"/>
  <c r="I816" i="2"/>
  <c r="I342" i="2"/>
  <c r="I583" i="2"/>
  <c r="I238" i="2"/>
  <c r="I717" i="2"/>
  <c r="I6" i="2"/>
  <c r="I38" i="2"/>
  <c r="I34" i="2"/>
  <c r="I825" i="2"/>
  <c r="I631" i="2"/>
  <c r="I645" i="2"/>
  <c r="I694" i="2"/>
  <c r="I761" i="2"/>
  <c r="I788" i="2"/>
  <c r="I541" i="2"/>
  <c r="I616" i="2"/>
  <c r="I50" i="2"/>
  <c r="I572" i="2"/>
  <c r="I47" i="2"/>
  <c r="I663" i="2"/>
  <c r="I800" i="2"/>
  <c r="I46" i="2"/>
  <c r="I819" i="2"/>
  <c r="I138" i="2"/>
  <c r="I722" i="2"/>
  <c r="I283" i="2"/>
  <c r="I790" i="2"/>
  <c r="I330" i="2"/>
  <c r="I669" i="2"/>
  <c r="I670" i="2"/>
  <c r="I116" i="2"/>
  <c r="I178" i="2"/>
  <c r="I43" i="2"/>
  <c r="I339" i="2"/>
  <c r="I16" i="2"/>
  <c r="I302" i="2"/>
  <c r="I28" i="2"/>
  <c r="I127" i="2"/>
  <c r="I341" i="2"/>
  <c r="I75" i="2"/>
  <c r="I184" i="2"/>
  <c r="I88" i="2"/>
  <c r="I91" i="2"/>
  <c r="I595" i="2"/>
  <c r="I25" i="2"/>
  <c r="I311" i="2"/>
  <c r="I368" i="2"/>
  <c r="I197" i="2"/>
  <c r="I506" i="2"/>
  <c r="I152" i="2"/>
  <c r="I156" i="2"/>
  <c r="I447" i="2"/>
  <c r="I749" i="2"/>
  <c r="I388" i="2"/>
  <c r="I807" i="2"/>
  <c r="I337" i="2"/>
  <c r="I740" i="2"/>
  <c r="I403" i="2"/>
  <c r="I493" i="2"/>
  <c r="I642" i="2"/>
  <c r="I225" i="2"/>
  <c r="I741" i="2"/>
  <c r="I160" i="2"/>
  <c r="I718" i="2"/>
  <c r="I158" i="2"/>
  <c r="I348" i="2"/>
  <c r="I560" i="2"/>
  <c r="I134" i="2"/>
  <c r="I135" i="2"/>
  <c r="I376" i="2"/>
  <c r="I381" i="2"/>
  <c r="I400" i="2"/>
  <c r="I170" i="2"/>
  <c r="I325" i="2"/>
  <c r="I361" i="2"/>
  <c r="I639" i="2"/>
  <c r="I319" i="2"/>
  <c r="I791" i="2"/>
  <c r="I144" i="2"/>
  <c r="I576" i="2"/>
  <c r="I93" i="2"/>
  <c r="I96" i="2"/>
  <c r="I296" i="2"/>
  <c r="I98" i="2"/>
  <c r="I100" i="2"/>
  <c r="I136" i="2"/>
  <c r="I573" i="2"/>
  <c r="I145" i="2"/>
  <c r="I389" i="2"/>
  <c r="I103" i="2"/>
  <c r="I106" i="2"/>
  <c r="I522" i="2"/>
  <c r="I672" i="2"/>
  <c r="I763" i="2"/>
  <c r="I143" i="2"/>
  <c r="I244" i="2"/>
  <c r="I154" i="2"/>
  <c r="I266" i="2"/>
  <c r="I426" i="2"/>
  <c r="I434" i="2"/>
  <c r="I467" i="2"/>
  <c r="I613" i="2"/>
  <c r="I659" i="2"/>
  <c r="I704" i="2"/>
  <c r="I48" i="2"/>
  <c r="I592" i="2"/>
  <c r="I55" i="2"/>
  <c r="I80" i="2"/>
  <c r="I97" i="2"/>
  <c r="I277" i="2"/>
  <c r="I768" i="2"/>
  <c r="I738" i="2"/>
  <c r="I746" i="2"/>
  <c r="I284" i="2"/>
  <c r="I61" i="2"/>
  <c r="I649" i="2"/>
  <c r="I513" i="2"/>
  <c r="I523" i="2"/>
  <c r="I524" i="2"/>
  <c r="I542" i="2"/>
  <c r="I633" i="2"/>
  <c r="I609" i="2"/>
  <c r="I189" i="2"/>
  <c r="I804" i="2"/>
  <c r="I801" i="2"/>
  <c r="I35" i="2"/>
  <c r="I605" i="2"/>
  <c r="I610" i="2"/>
  <c r="I190" i="2"/>
  <c r="I322" i="2"/>
  <c r="I766" i="2"/>
  <c r="I555" i="2"/>
  <c r="I258" i="2"/>
  <c r="I259" i="2"/>
  <c r="I260" i="2"/>
  <c r="I393" i="2"/>
  <c r="I540" i="2"/>
  <c r="I822" i="2"/>
  <c r="I485" i="2"/>
  <c r="I582" i="2"/>
  <c r="I510" i="2"/>
  <c r="I577" i="2"/>
  <c r="I578" i="2"/>
  <c r="I390" i="2"/>
  <c r="I354" i="2"/>
  <c r="I647" i="2"/>
  <c r="I242" i="2"/>
  <c r="I39" i="2"/>
  <c r="I49" i="2"/>
  <c r="I205" i="2"/>
  <c r="I442" i="2"/>
  <c r="I20" i="2"/>
  <c r="I812" i="2"/>
  <c r="I486" i="2"/>
  <c r="I79" i="2"/>
  <c r="I817" i="2"/>
  <c r="I187" i="2"/>
  <c r="I408" i="2"/>
  <c r="I21" i="2"/>
  <c r="I480" i="2"/>
  <c r="I312" i="2"/>
  <c r="I10" i="2"/>
  <c r="I469" i="2"/>
  <c r="I212" i="2"/>
  <c r="I459" i="2"/>
  <c r="I120" i="2"/>
  <c r="I124" i="2"/>
  <c r="I164" i="2"/>
  <c r="I599" i="2"/>
  <c r="I213" i="2"/>
  <c r="I399" i="2"/>
  <c r="I627" i="2"/>
  <c r="I736" i="2"/>
  <c r="I666" i="2"/>
  <c r="I667" i="2"/>
  <c r="I695" i="2"/>
  <c r="I424" i="2"/>
  <c r="I597" i="2"/>
  <c r="I758" i="2"/>
  <c r="I261" i="2"/>
  <c r="I552" i="2"/>
  <c r="I535" i="2"/>
  <c r="I767" i="2"/>
  <c r="I297" i="2"/>
  <c r="I82" i="2"/>
  <c r="I512" i="2"/>
  <c r="I558" i="2"/>
  <c r="I525" i="2"/>
  <c r="I526" i="2"/>
  <c r="I64" i="2"/>
  <c r="I373" i="2"/>
  <c r="I377" i="2"/>
  <c r="I395" i="2"/>
  <c r="I585" i="2"/>
  <c r="I111" i="2"/>
  <c r="I224" i="2"/>
  <c r="I508" i="2"/>
  <c r="I778" i="2"/>
  <c r="I466" i="2"/>
  <c r="I601" i="2"/>
  <c r="I345" i="2"/>
  <c r="I561" i="2"/>
  <c r="I551" i="2"/>
  <c r="I74" i="2"/>
  <c r="I71" i="2"/>
  <c r="I125" i="2"/>
  <c r="I126" i="2"/>
  <c r="I73" i="2"/>
  <c r="I602" i="2"/>
  <c r="I769" i="2"/>
  <c r="I350" i="2"/>
  <c r="I252" i="2"/>
  <c r="I681" i="2"/>
  <c r="I77" i="2"/>
  <c r="I515" i="2"/>
  <c r="I412" i="2"/>
  <c r="I307" i="2"/>
  <c r="I253" i="2"/>
  <c r="I514" i="2"/>
  <c r="I543" i="2"/>
  <c r="I199" i="2"/>
  <c r="I727" i="2"/>
  <c r="I439" i="2"/>
  <c r="I475" i="2"/>
  <c r="I570" i="2"/>
  <c r="I495" i="2"/>
  <c r="I117" i="2"/>
  <c r="I107" i="2"/>
  <c r="I112" i="2"/>
  <c r="I13" i="2"/>
  <c r="I298" i="2"/>
  <c r="I23" i="2"/>
  <c r="I352" i="2"/>
  <c r="I655" i="2"/>
  <c r="I773" i="2"/>
  <c r="I779" i="2"/>
  <c r="I299" i="2"/>
  <c r="I165" i="2"/>
  <c r="I166" i="2"/>
  <c r="I575" i="2"/>
  <c r="I11" i="2"/>
  <c r="I371" i="2"/>
  <c r="I331" i="2"/>
  <c r="I771" i="2"/>
  <c r="I664" i="2"/>
  <c r="I308" i="2"/>
  <c r="I593" i="2"/>
  <c r="I622" i="2"/>
  <c r="I625" i="2"/>
  <c r="I676" i="2"/>
  <c r="I84" i="2"/>
  <c r="I85" i="2"/>
  <c r="I617" i="2"/>
  <c r="I200" i="2"/>
  <c r="I797" i="2"/>
  <c r="I30" i="2"/>
  <c r="I795" i="2"/>
  <c r="I378" i="2"/>
  <c r="I476" i="2"/>
  <c r="I460" i="2"/>
  <c r="I455" i="2"/>
  <c r="I214" i="2"/>
  <c r="I450" i="2"/>
  <c r="I504" i="2"/>
  <c r="I516" i="2"/>
  <c r="I517" i="2"/>
  <c r="I518" i="2"/>
  <c r="I724" i="2"/>
  <c r="I725" i="2"/>
  <c r="I487" i="2"/>
  <c r="I482" i="2"/>
  <c r="I290" i="2"/>
  <c r="I798" i="2"/>
  <c r="I171" i="2"/>
  <c r="I173" i="2"/>
  <c r="I641" i="2"/>
  <c r="I473" i="2"/>
  <c r="I397" i="2"/>
  <c r="I185" i="2"/>
  <c r="I191" i="2"/>
  <c r="I507" i="2"/>
  <c r="I267" i="2"/>
  <c r="I398" i="2"/>
  <c r="I404" i="2"/>
  <c r="I309" i="2"/>
  <c r="I287" i="2"/>
  <c r="I313" i="2"/>
  <c r="I660" i="2"/>
  <c r="I483" i="2"/>
  <c r="I305" i="2"/>
  <c r="I461" i="2"/>
  <c r="I462" i="2"/>
  <c r="I754" i="2"/>
  <c r="I268" i="2"/>
  <c r="I680" i="2"/>
  <c r="I418" i="2"/>
  <c r="I179" i="2"/>
  <c r="I181" i="2"/>
  <c r="I661" i="2"/>
  <c r="I668" i="2"/>
  <c r="I710" i="2"/>
  <c r="I737" i="2"/>
  <c r="I760" i="2"/>
  <c r="I776" i="2"/>
  <c r="I780" i="2"/>
  <c r="I657" i="2"/>
  <c r="I755" i="2"/>
  <c r="I658" i="2"/>
  <c r="I533" i="2"/>
  <c r="I534" i="2"/>
  <c r="I556" i="2"/>
  <c r="I794" i="2"/>
  <c r="I643" i="2"/>
  <c r="I644" i="2"/>
  <c r="I653" i="2"/>
  <c r="I665" i="2"/>
  <c r="I677" i="2"/>
  <c r="I553" i="2"/>
  <c r="I207" i="2"/>
  <c r="I379" i="2"/>
  <c r="I380" i="2"/>
  <c r="I519" i="2"/>
  <c r="I520" i="2"/>
  <c r="I530" i="2"/>
  <c r="I531" i="2"/>
  <c r="I532" i="2"/>
  <c r="I559" i="2"/>
  <c r="I785" i="2"/>
  <c r="I786" i="2"/>
  <c r="I481" i="2"/>
  <c r="I745" i="2"/>
  <c r="I688" i="2"/>
  <c r="I303" i="2"/>
  <c r="I382" i="2"/>
  <c r="I581" i="2"/>
  <c r="I640" i="2"/>
  <c r="I685" i="2"/>
  <c r="I756" i="2"/>
  <c r="I757" i="2"/>
  <c r="I159" i="2"/>
  <c r="I161" i="2"/>
  <c r="I140" i="2"/>
  <c r="I764" i="2"/>
  <c r="I366" i="2"/>
  <c r="I511" i="2"/>
  <c r="I590" i="2"/>
  <c r="I241" i="2"/>
  <c r="I320" i="2"/>
  <c r="I300" i="2"/>
  <c r="I703" i="2"/>
  <c r="I494" i="2"/>
  <c r="I239" i="2"/>
  <c r="I36" i="2"/>
  <c r="I343" i="2"/>
  <c r="I765" i="2"/>
  <c r="I735" i="2"/>
  <c r="I477" i="2"/>
  <c r="I67" i="2"/>
  <c r="I22" i="2"/>
  <c r="I500" i="2"/>
  <c r="I566" i="2"/>
  <c r="I562" i="2"/>
  <c r="I285" i="2"/>
  <c r="I194" i="2"/>
  <c r="I742" i="2"/>
  <c r="I726" i="2"/>
  <c r="I249" i="2"/>
  <c r="I600" i="2"/>
  <c r="I118" i="2"/>
  <c r="I413" i="2"/>
  <c r="I293" i="2"/>
  <c r="I3" i="2"/>
  <c r="I678" i="2"/>
  <c r="I416" i="2"/>
  <c r="I544" i="2"/>
  <c r="I626" i="2"/>
  <c r="I707" i="2"/>
  <c r="I414" i="2"/>
  <c r="I648" i="2"/>
  <c r="I490" i="2"/>
  <c r="I521" i="2"/>
  <c r="I359" i="2"/>
  <c r="I671" i="2"/>
  <c r="I692" i="2"/>
  <c r="I56" i="2"/>
  <c r="I291" i="2"/>
  <c r="I221" i="2"/>
  <c r="I714" i="2"/>
  <c r="I278" i="2"/>
  <c r="I57" i="2"/>
  <c r="I167" i="2"/>
  <c r="I180" i="2"/>
  <c r="I195" i="2"/>
  <c r="I202" i="2"/>
  <c r="I206" i="2"/>
  <c r="I128" i="2"/>
  <c r="I132" i="2"/>
  <c r="I362" i="2"/>
  <c r="I9" i="2"/>
  <c r="I12" i="2"/>
  <c r="I349" i="2"/>
  <c r="I208" i="2"/>
  <c r="I254" i="2"/>
  <c r="I752" i="2"/>
  <c r="I215" i="2"/>
  <c r="I332" i="2"/>
  <c r="I333" i="2"/>
  <c r="I451" i="2"/>
  <c r="I693" i="2"/>
  <c r="I730" i="2"/>
  <c r="I753" i="2"/>
  <c r="I787" i="2"/>
  <c r="I828" i="2"/>
  <c r="I690" i="2"/>
  <c r="I809" i="2"/>
  <c r="I294" i="2"/>
  <c r="I411" i="2"/>
  <c r="I279" i="2"/>
  <c r="I621" i="2"/>
  <c r="I391" i="2"/>
  <c r="I86" i="2"/>
  <c r="I104" i="2"/>
  <c r="I474" i="2"/>
  <c r="I789" i="2"/>
  <c r="I137" i="2"/>
  <c r="I139" i="2"/>
  <c r="I696" i="2"/>
  <c r="I168" i="2"/>
  <c r="I169" i="2"/>
  <c r="I360" i="2"/>
  <c r="I488" i="2"/>
  <c r="I314" i="2"/>
  <c r="I750" i="2"/>
  <c r="I182" i="2"/>
  <c r="I419" i="2"/>
  <c r="I611" i="2"/>
  <c r="I369" i="2"/>
  <c r="I370" i="2"/>
  <c r="I697" i="2"/>
  <c r="I146" i="2"/>
  <c r="I149" i="2"/>
  <c r="I505" i="2"/>
  <c r="I636" i="2"/>
  <c r="I731" i="2"/>
  <c r="I803" i="2"/>
  <c r="I747" i="2"/>
  <c r="I783" i="2"/>
  <c r="I436" i="2"/>
  <c r="I536" i="2"/>
  <c r="I443" i="2"/>
  <c r="I292" i="2"/>
  <c r="I119" i="2"/>
  <c r="I29" i="2"/>
  <c r="I810" i="2"/>
  <c r="I686" i="2"/>
  <c r="I363" i="2"/>
  <c r="I364" i="2"/>
  <c r="I584" i="2"/>
  <c r="I603" i="2"/>
  <c r="I720" i="2"/>
  <c r="I721" i="2"/>
  <c r="I743" i="2"/>
  <c r="I796" i="2"/>
  <c r="I527" i="2"/>
  <c r="I198" i="2"/>
  <c r="I59" i="2"/>
  <c r="I133" i="2"/>
  <c r="I243" i="2"/>
  <c r="I31" i="2"/>
  <c r="I813" i="2"/>
  <c r="I814" i="2"/>
  <c r="I815" i="2"/>
  <c r="I301" i="2"/>
  <c r="I410" i="2"/>
  <c r="I646" i="2"/>
  <c r="I60" i="2"/>
  <c r="I547" i="2"/>
  <c r="I295" i="2"/>
  <c r="I784" i="2"/>
  <c r="I706" i="2"/>
  <c r="I401" i="2"/>
  <c r="I265" i="2"/>
  <c r="I548" i="2"/>
  <c r="I62" i="2"/>
  <c r="I629" i="2"/>
  <c r="I147" i="2"/>
  <c r="I148" i="2"/>
  <c r="I121" i="2"/>
  <c r="I289" i="2"/>
  <c r="I637" i="2"/>
  <c r="I805" i="2"/>
  <c r="I324" i="2"/>
  <c r="I232" i="2"/>
  <c r="I262" i="2"/>
  <c r="I580" i="2"/>
  <c r="I634" i="2"/>
  <c r="I537" i="2"/>
  <c r="I632" i="2"/>
  <c r="I210" i="2"/>
  <c r="I222" i="2"/>
  <c r="I255" i="2"/>
  <c r="I174" i="2"/>
  <c r="I315" i="2"/>
  <c r="I150" i="2"/>
  <c r="I151" i="2"/>
  <c r="I589" i="2"/>
  <c r="I269" i="2"/>
  <c r="I327" i="2"/>
  <c r="I674" i="2"/>
  <c r="I614" i="2"/>
  <c r="I229" i="2"/>
  <c r="I673" i="2"/>
  <c r="I574" i="2"/>
  <c r="I612" i="2"/>
  <c r="I708" i="2"/>
  <c r="I709" i="2"/>
  <c r="I774" i="2"/>
  <c r="I496" i="2"/>
  <c r="I90" i="2"/>
  <c r="I92" i="2"/>
  <c r="I719" i="2"/>
  <c r="I367" i="2"/>
  <c r="I497" i="2"/>
  <c r="I502" i="2"/>
  <c r="I549" i="2"/>
  <c r="I550" i="2"/>
  <c r="I498" i="2"/>
  <c r="I806" i="2"/>
  <c r="I568" i="2"/>
  <c r="I491" i="2"/>
  <c r="I108" i="2"/>
  <c r="I567" i="2"/>
  <c r="I425" i="2"/>
  <c r="I81" i="2"/>
  <c r="I430" i="2"/>
  <c r="I274" i="2"/>
  <c r="I489" i="2"/>
  <c r="I628" i="2"/>
  <c r="I387" i="2"/>
  <c r="I618" i="2"/>
  <c r="I484" i="2"/>
  <c r="I288" i="2"/>
  <c r="I818" i="2"/>
  <c r="I739" i="2"/>
  <c r="I356" i="2"/>
  <c r="I76" i="2"/>
  <c r="I78" i="2"/>
  <c r="I122" i="2"/>
  <c r="I153" i="2"/>
  <c r="I155" i="2"/>
  <c r="I157" i="2"/>
  <c r="I175" i="2"/>
  <c r="I220" i="2"/>
  <c r="I230" i="2"/>
  <c r="I234" i="2"/>
  <c r="I235" i="2"/>
  <c r="I237" i="2"/>
  <c r="I246" i="2"/>
  <c r="I247" i="2"/>
  <c r="I256" i="2"/>
  <c r="I257" i="2"/>
  <c r="I263" i="2"/>
  <c r="I264" i="2"/>
  <c r="I270" i="2"/>
  <c r="I272" i="2"/>
  <c r="I282" i="2"/>
  <c r="I306" i="2"/>
  <c r="I326" i="2"/>
  <c r="I335" i="2"/>
  <c r="I336" i="2"/>
  <c r="I346" i="2"/>
  <c r="I353" i="2"/>
  <c r="I355" i="2"/>
  <c r="I357" i="2"/>
  <c r="I358" i="2"/>
  <c r="I402" i="2"/>
  <c r="I415" i="2"/>
  <c r="I417" i="2"/>
  <c r="I427" i="2"/>
  <c r="I429" i="2"/>
  <c r="I441" i="2"/>
  <c r="I444" i="2"/>
  <c r="I448" i="2"/>
  <c r="I463" i="2"/>
  <c r="I468" i="2"/>
  <c r="I528" i="2"/>
  <c r="I586" i="2"/>
  <c r="I604" i="2"/>
  <c r="I606" i="2"/>
  <c r="I619" i="2"/>
  <c r="I650" i="2"/>
  <c r="I684" i="2"/>
  <c r="I687" i="2"/>
  <c r="I699" i="2"/>
  <c r="I700" i="2"/>
  <c r="I705" i="2"/>
  <c r="I711" i="2"/>
  <c r="I723" i="2"/>
  <c r="I728" i="2"/>
  <c r="I734" i="2"/>
  <c r="I744" i="2"/>
  <c r="I748" i="2"/>
  <c r="I759" i="2"/>
  <c r="I762" i="2"/>
  <c r="I781" i="2"/>
  <c r="I782" i="2"/>
  <c r="I823" i="2"/>
  <c r="I824" i="2"/>
  <c r="I827" i="2"/>
  <c r="I830" i="2"/>
  <c r="I406" i="2"/>
  <c r="E3" i="8"/>
  <c r="E4" i="8"/>
  <c r="E5" i="8"/>
  <c r="E6" i="8"/>
  <c r="E7" i="8"/>
  <c r="E8" i="8"/>
  <c r="E9" i="8"/>
  <c r="E10" i="8"/>
  <c r="E11" i="8"/>
  <c r="E12" i="8"/>
  <c r="E13" i="8"/>
  <c r="E2" i="8"/>
</calcChain>
</file>

<file path=xl/sharedStrings.xml><?xml version="1.0" encoding="utf-8"?>
<sst xmlns="http://schemas.openxmlformats.org/spreadsheetml/2006/main" count="6128" uniqueCount="2259">
  <si>
    <t>Grand Total</t>
  </si>
  <si>
    <t>Row Labels</t>
  </si>
  <si>
    <t>2026</t>
  </si>
  <si>
    <t>Total Geral</t>
  </si>
  <si>
    <t>JUL/JUL/AGO</t>
  </si>
  <si>
    <t>SET/OUT/NOV</t>
  </si>
  <si>
    <t>TIPO</t>
  </si>
  <si>
    <t>FLIPERAMA</t>
  </si>
  <si>
    <t>GUITARRA</t>
  </si>
  <si>
    <t>IPHONE</t>
  </si>
  <si>
    <t>JUKEBOX</t>
  </si>
  <si>
    <t>MALETA</t>
  </si>
  <si>
    <t>SISTEMA</t>
  </si>
  <si>
    <t>VERIFICAR</t>
  </si>
  <si>
    <t>COMO ATIVAR O FILTRO POR CLIQUE</t>
  </si>
  <si>
    <t>1. Salve este arquivo como Pasta de Trabalho Habilitada para Macro (*.xlsm).</t>
  </si>
  <si>
    <t>2. Pressione ALT + F11.</t>
  </si>
  <si>
    <t>3. No lado esquerdo, clique duas vezes na aba CADASTRO.</t>
  </si>
  <si>
    <t>4. Cole o código abaixo dentro da aba CADASTRO.</t>
  </si>
  <si>
    <t>5. Salve, feche e abra novamente habilitando macros.</t>
  </si>
  <si>
    <t>6. Ao clicar em um telefone na aba CADASTRO, a aba EQUIPAMENTOS será filtrada pelo telefone.</t>
  </si>
  <si>
    <t>CÓDIGO VBA:</t>
  </si>
  <si>
    <t>Private Sub Worksheet_BeforeDoubleClick(ByVal Target As Range, Cancel As Boolean)</t>
  </si>
  <si>
    <t xml:space="preserve">    If Target.CountLarge &gt; 1 Then Exit Sub</t>
  </si>
  <si>
    <t xml:space="preserve">    If Target.Row &lt; 2 Then Exit Sub</t>
  </si>
  <si>
    <t xml:space="preserve">    If Target.Column &lt;&gt; 1 Then Exit Sub 'ID no CADASTRO = coluna A</t>
  </si>
  <si>
    <t xml:space="preserve">    Dim idCadastro As String</t>
  </si>
  <si>
    <t xml:space="preserve">    idCadastro = Trim(CStr(Target.Value))</t>
  </si>
  <si>
    <t xml:space="preserve">    If idCadastro = "" Then Exit Sub</t>
  </si>
  <si>
    <t xml:space="preserve">    Cancel = True</t>
  </si>
  <si>
    <t xml:space="preserve">    Application.EnableEvents = False</t>
  </si>
  <si>
    <t xml:space="preserve">    Dim ws As Worksheet</t>
  </si>
  <si>
    <t xml:space="preserve">    Dim tbl As ListObject</t>
  </si>
  <si>
    <t xml:space="preserve">    Set ws = ThisWorkbook.Worksheets("EQUIPAMENTOS")</t>
  </si>
  <si>
    <t xml:space="preserve">    Set tbl = ws.ListObjects(1)</t>
  </si>
  <si>
    <t xml:space="preserve">    ws.Activate</t>
  </si>
  <si>
    <t xml:space="preserve">    On Error Resume Next</t>
  </si>
  <si>
    <t xml:space="preserve">    If tbl.AutoFilter.FilterMode Then tbl.AutoFilter.ShowAllData</t>
  </si>
  <si>
    <t xml:space="preserve">    On Error GoTo 0</t>
  </si>
  <si>
    <t xml:space="preserve">    tbl.Range.AutoFilter _</t>
  </si>
  <si>
    <t xml:space="preserve">        Field:=tbl.ListColumns("ID CADASTRO").Index, _</t>
  </si>
  <si>
    <t xml:space="preserve">        Criteria1:="=" &amp; idCadastro</t>
  </si>
  <si>
    <t xml:space="preserve">    Application.EnableEvents = True</t>
  </si>
  <si>
    <t>End Sub</t>
  </si>
  <si>
    <t>ID CADASTRO</t>
  </si>
  <si>
    <t>Empresa</t>
  </si>
  <si>
    <t>Qtd_MAQ</t>
  </si>
  <si>
    <t>Telefone</t>
  </si>
  <si>
    <t>PLANO</t>
  </si>
  <si>
    <t>ANYDESK</t>
  </si>
  <si>
    <t>L1-001 37__Luciana</t>
  </si>
  <si>
    <t>L1-002 38__Giuliana</t>
  </si>
  <si>
    <t>21960151402</t>
  </si>
  <si>
    <t>L1-003 39__Jessica Macedo</t>
  </si>
  <si>
    <t>21960177255</t>
  </si>
  <si>
    <t>L1-004 40__Helio</t>
  </si>
  <si>
    <t>21964020340</t>
  </si>
  <si>
    <t>L1-005 41__Julio Cesar</t>
  </si>
  <si>
    <t>21964055276</t>
  </si>
  <si>
    <t>L1-006 42__Claudio De Paiva</t>
  </si>
  <si>
    <t>21964059772</t>
  </si>
  <si>
    <t>L1-007 43__Margareth Lopes</t>
  </si>
  <si>
    <t>21964070786</t>
  </si>
  <si>
    <t>L1-008 44__Rejane Vieira</t>
  </si>
  <si>
    <t>21964089602</t>
  </si>
  <si>
    <t>L1-009 45__Monique</t>
  </si>
  <si>
    <t>21964093257</t>
  </si>
  <si>
    <t>L1-010 46__Diego</t>
  </si>
  <si>
    <t>21964102465</t>
  </si>
  <si>
    <t>L1-011 47__Daniele</t>
  </si>
  <si>
    <t>21964106711</t>
  </si>
  <si>
    <t>L1-012 48__Eduardo</t>
  </si>
  <si>
    <t>21964123969</t>
  </si>
  <si>
    <t>L1-013 49__L Perez</t>
  </si>
  <si>
    <t>21964157582</t>
  </si>
  <si>
    <t>L1-014 50__Bruno Santa Rosa</t>
  </si>
  <si>
    <t>21964157635</t>
  </si>
  <si>
    <t>L1-015 51__Paulo Cezar</t>
  </si>
  <si>
    <t>21964162836</t>
  </si>
  <si>
    <t>L1-016 52__Carla</t>
  </si>
  <si>
    <t>21964186831</t>
  </si>
  <si>
    <t>L1-017 53__Josimar</t>
  </si>
  <si>
    <t>21964196456</t>
  </si>
  <si>
    <t>L1-018 54__Marcelo E Natalia</t>
  </si>
  <si>
    <t>21964223940</t>
  </si>
  <si>
    <t>L1-019 55__Aline Lima</t>
  </si>
  <si>
    <t>21964240568</t>
  </si>
  <si>
    <t>L1-020 56__Alexia</t>
  </si>
  <si>
    <t>21964253861</t>
  </si>
  <si>
    <t>L1-021 57__Rafael Sitio</t>
  </si>
  <si>
    <t>21964256900</t>
  </si>
  <si>
    <t>L1-022 58__Jean Rodrigues</t>
  </si>
  <si>
    <t>21964304551</t>
  </si>
  <si>
    <t>L1-023 59__Manoel</t>
  </si>
  <si>
    <t>21964317758</t>
  </si>
  <si>
    <t>L1-024 60__Larissa (Adilson)</t>
  </si>
  <si>
    <t>21964326090</t>
  </si>
  <si>
    <t>L1-025 61__Darci Almeida</t>
  </si>
  <si>
    <t>21964329298</t>
  </si>
  <si>
    <t>L1-026 62__Italo Alves</t>
  </si>
  <si>
    <t>21964340544</t>
  </si>
  <si>
    <t>L1-027 63__Cristiano Telles</t>
  </si>
  <si>
    <t>21964347351</t>
  </si>
  <si>
    <t>L1-028 64__Bruno</t>
  </si>
  <si>
    <t>21964347393</t>
  </si>
  <si>
    <t>L1-029 65__Jailton</t>
  </si>
  <si>
    <t>21964366334</t>
  </si>
  <si>
    <t>L1-030 66__Stanley</t>
  </si>
  <si>
    <t>21964371514</t>
  </si>
  <si>
    <t>L1-031 67__Mariana</t>
  </si>
  <si>
    <t>21964372918</t>
  </si>
  <si>
    <t>L1-032 68__Marcelo</t>
  </si>
  <si>
    <t>21964417312</t>
  </si>
  <si>
    <t>L1-033 69__Raphaela Serreno</t>
  </si>
  <si>
    <t>21964421393</t>
  </si>
  <si>
    <t>L1-034 70__Guilherme</t>
  </si>
  <si>
    <t>21964425566</t>
  </si>
  <si>
    <t>L1-035 71__Angelo</t>
  </si>
  <si>
    <t>21964487448</t>
  </si>
  <si>
    <t>L1-036 72__Lilia Do Carmo</t>
  </si>
  <si>
    <t>21964511513</t>
  </si>
  <si>
    <t>L1-037 73__Sérgio Augusto</t>
  </si>
  <si>
    <t>21964576728</t>
  </si>
  <si>
    <t>L1-038 74__Joao</t>
  </si>
  <si>
    <t>21964630765</t>
  </si>
  <si>
    <t>L1-039 75__Aline Vereadora</t>
  </si>
  <si>
    <t>21964646611</t>
  </si>
  <si>
    <t>L1-040 76__Thiago</t>
  </si>
  <si>
    <t>21964668823</t>
  </si>
  <si>
    <t>L1-041 77__Michelle</t>
  </si>
  <si>
    <t>21964669278</t>
  </si>
  <si>
    <t>L1-042 78__Roger Nascimento</t>
  </si>
  <si>
    <t>FUNFESTS</t>
  </si>
  <si>
    <t>21964701473</t>
  </si>
  <si>
    <t>PLUS</t>
  </si>
  <si>
    <t>SIM</t>
  </si>
  <si>
    <t>L1-043 79__Leticia Ferreira</t>
  </si>
  <si>
    <t>21964707001</t>
  </si>
  <si>
    <t>L1-044 80__Luiz Carlos</t>
  </si>
  <si>
    <t>21964714885</t>
  </si>
  <si>
    <t>L1-045 81__Isabela Dias</t>
  </si>
  <si>
    <t>21964788634</t>
  </si>
  <si>
    <t>L1-046 82__Marcus</t>
  </si>
  <si>
    <t>21964818198</t>
  </si>
  <si>
    <t>L1-047 83__Jorge Karaoke Bonito</t>
  </si>
  <si>
    <t>K DO BONITO</t>
  </si>
  <si>
    <t>L1-048 84__Flavio Campos</t>
  </si>
  <si>
    <t>21964887387</t>
  </si>
  <si>
    <t>L1-049 85__Andrea</t>
  </si>
  <si>
    <t>21964909918</t>
  </si>
  <si>
    <t>L1-050 86__Marceli</t>
  </si>
  <si>
    <t>21964951155</t>
  </si>
  <si>
    <t>L1-051 87__Cassia</t>
  </si>
  <si>
    <t>21964972602</t>
  </si>
  <si>
    <t>L1-052 88__Claudia</t>
  </si>
  <si>
    <t>21964986142</t>
  </si>
  <si>
    <t>L1-053 89__Jonathan</t>
  </si>
  <si>
    <t>21965023838</t>
  </si>
  <si>
    <t>L1-054 90__Dilermando</t>
  </si>
  <si>
    <t>21965205706</t>
  </si>
  <si>
    <t>L1-055 91__Rafael Nana Fiestas</t>
  </si>
  <si>
    <t>21965223908</t>
  </si>
  <si>
    <t>L1-056 92__Josiane Amorim</t>
  </si>
  <si>
    <t>21965236437</t>
  </si>
  <si>
    <t>L1-057 93__Aline Aires De Almeida</t>
  </si>
  <si>
    <t>21965262596</t>
  </si>
  <si>
    <t>L1-058 94__Wanderson Marinha</t>
  </si>
  <si>
    <t>21965371716</t>
  </si>
  <si>
    <t>L1-059 95__Marino Tadeu</t>
  </si>
  <si>
    <t>21965438502</t>
  </si>
  <si>
    <t>L1-060 96__Ana Paula / Marcio</t>
  </si>
  <si>
    <t>21965685882</t>
  </si>
  <si>
    <t>L1-061 97__Luzia Souza</t>
  </si>
  <si>
    <t>21965713227</t>
  </si>
  <si>
    <t>L1-062 98__Ricardo</t>
  </si>
  <si>
    <t>21965813916</t>
  </si>
  <si>
    <t>L1-063 99__Carol</t>
  </si>
  <si>
    <t>21965897133</t>
  </si>
  <si>
    <t>L1-064 100__Kissila</t>
  </si>
  <si>
    <t>21965909919</t>
  </si>
  <si>
    <t>L1-065 101__Sheila</t>
  </si>
  <si>
    <t>21965960300</t>
  </si>
  <si>
    <t>L1-066 102__Rafaela</t>
  </si>
  <si>
    <t>21966049525</t>
  </si>
  <si>
    <t>L1-067 103__Eliete</t>
  </si>
  <si>
    <t>21966351370</t>
  </si>
  <si>
    <t>L1-068 104__Najla</t>
  </si>
  <si>
    <t>21966370716</t>
  </si>
  <si>
    <t>L1-069 105__Matheus Tilico</t>
  </si>
  <si>
    <t>21966788108</t>
  </si>
  <si>
    <t>L1-070 106__Marcus Vinicius</t>
  </si>
  <si>
    <t>21967053514</t>
  </si>
  <si>
    <t>L1-071 107__Gabriel</t>
  </si>
  <si>
    <t>21967304279</t>
  </si>
  <si>
    <t>L1-072 108__Tabata</t>
  </si>
  <si>
    <t>21967327332</t>
  </si>
  <si>
    <t>L1-073 109__Jorge</t>
  </si>
  <si>
    <t>21967561681</t>
  </si>
  <si>
    <t>L1-074 110__Amanda</t>
  </si>
  <si>
    <t>21967622227</t>
  </si>
  <si>
    <t>L1-075 111__Ailton Monteiro (Renata)</t>
  </si>
  <si>
    <t>21967808805</t>
  </si>
  <si>
    <t>L1-076 112__Veronica</t>
  </si>
  <si>
    <t>21967951519</t>
  </si>
  <si>
    <t>L1-077 113__Patricia</t>
  </si>
  <si>
    <t>21968010121</t>
  </si>
  <si>
    <t>L1-078 114__Bruno</t>
  </si>
  <si>
    <t>21968037373</t>
  </si>
  <si>
    <t>L1-079 115__Sergio</t>
  </si>
  <si>
    <t>21968668137</t>
  </si>
  <si>
    <t>L1-080 116__Claudio</t>
  </si>
  <si>
    <t>21968802343</t>
  </si>
  <si>
    <t>L1-081 117__Junior</t>
  </si>
  <si>
    <t>21968872790</t>
  </si>
  <si>
    <t>L1-082 118__Lilian</t>
  </si>
  <si>
    <t>21968888315</t>
  </si>
  <si>
    <t>L1-083 119__Carlos Eduardo</t>
  </si>
  <si>
    <t>21969038449</t>
  </si>
  <si>
    <t>L1-084 120__Erica</t>
  </si>
  <si>
    <t>21969059298</t>
  </si>
  <si>
    <t>L1-085 121__Bhrama</t>
  </si>
  <si>
    <t>21969101510</t>
  </si>
  <si>
    <t>L1-086 122__Gilson</t>
  </si>
  <si>
    <t>21969151673</t>
  </si>
  <si>
    <t>L1-087 123__Deivis</t>
  </si>
  <si>
    <t>21969168478</t>
  </si>
  <si>
    <t>L1-088 124__Grazi</t>
  </si>
  <si>
    <t>21969307101</t>
  </si>
  <si>
    <t>L1-089 125__Leila Dos Santos</t>
  </si>
  <si>
    <t>21969312169</t>
  </si>
  <si>
    <t>L1-090 126__Livia</t>
  </si>
  <si>
    <t>21969335806</t>
  </si>
  <si>
    <t>L1-091 127__Vitor</t>
  </si>
  <si>
    <t>21969402960</t>
  </si>
  <si>
    <t>L1-092 128__Darcy</t>
  </si>
  <si>
    <t>21969472142</t>
  </si>
  <si>
    <t>L1-093 129__Sheyla</t>
  </si>
  <si>
    <t>21969825557</t>
  </si>
  <si>
    <t>L1-094 130__Michelle Shunk</t>
  </si>
  <si>
    <t>21969830022</t>
  </si>
  <si>
    <t>L1-095 131__Julio Cesar</t>
  </si>
  <si>
    <t>21969914181</t>
  </si>
  <si>
    <t>L1-096 132__Leandro e Carla</t>
  </si>
  <si>
    <t>MAVI KARAOKE</t>
  </si>
  <si>
    <t>L1-097 133__Paulo Cesar</t>
  </si>
  <si>
    <t>21970009090</t>
  </si>
  <si>
    <t>L1-098 134__Cirlene E Luciene</t>
  </si>
  <si>
    <t>21970029437</t>
  </si>
  <si>
    <t>L1-099 135__Elaine De Carvalho</t>
  </si>
  <si>
    <t>21970031194</t>
  </si>
  <si>
    <t>L1-100 136__Marcio</t>
  </si>
  <si>
    <t>21970055655</t>
  </si>
  <si>
    <t>L1-101 137__Eduardo Menezes</t>
  </si>
  <si>
    <t>21970086165</t>
  </si>
  <si>
    <t>L1-102 138__Simas</t>
  </si>
  <si>
    <t>21970087071</t>
  </si>
  <si>
    <t>L1-103 139__Almir Cigano</t>
  </si>
  <si>
    <t>21970093075</t>
  </si>
  <si>
    <t>L1-104 140__Lilian</t>
  </si>
  <si>
    <t>21970112587</t>
  </si>
  <si>
    <t>L1-105 141__Vinicius</t>
  </si>
  <si>
    <t>21970129444</t>
  </si>
  <si>
    <t>L1-106 142__Bianca</t>
  </si>
  <si>
    <t>21970168976</t>
  </si>
  <si>
    <t>L1-107 143__Eduardo Menezes</t>
  </si>
  <si>
    <t>21970194746</t>
  </si>
  <si>
    <t>L1-108 144__Edson</t>
  </si>
  <si>
    <t>21970256290</t>
  </si>
  <si>
    <t>L1-109 145__Carlos\Thalita</t>
  </si>
  <si>
    <t>21970285042</t>
  </si>
  <si>
    <t>L1-110 146__Alvaro Jorge</t>
  </si>
  <si>
    <t>21970290419</t>
  </si>
  <si>
    <t>L1-111 147__Carlos José</t>
  </si>
  <si>
    <t>21970366752</t>
  </si>
  <si>
    <t>L1-112 148__Claudia</t>
  </si>
  <si>
    <t>21970376282</t>
  </si>
  <si>
    <t>L1-113 149__Edina</t>
  </si>
  <si>
    <t>21970391557</t>
  </si>
  <si>
    <t>L1-114 150__Bruno</t>
  </si>
  <si>
    <t>21970396831</t>
  </si>
  <si>
    <t>L1-115 151__Victor</t>
  </si>
  <si>
    <t>21970409706</t>
  </si>
  <si>
    <t>L1-116 152__Sidney</t>
  </si>
  <si>
    <t>21970416440</t>
  </si>
  <si>
    <t>L1-117 153__Ulysses</t>
  </si>
  <si>
    <t>21970422973</t>
  </si>
  <si>
    <t>L1-118 154__Simone</t>
  </si>
  <si>
    <t>21970424597</t>
  </si>
  <si>
    <t>L1-119 155__Aline</t>
  </si>
  <si>
    <t>21970443658</t>
  </si>
  <si>
    <t>L1-120 156__Renato</t>
  </si>
  <si>
    <t>21970467872</t>
  </si>
  <si>
    <t>L1-121 157__Ronaldo</t>
  </si>
  <si>
    <t>21970477267</t>
  </si>
  <si>
    <t>L1-122 158__Alfredo</t>
  </si>
  <si>
    <t>21971275536</t>
  </si>
  <si>
    <t>L1-123 159__Juan</t>
  </si>
  <si>
    <t>21971368983</t>
  </si>
  <si>
    <t>L1-124 160__Mariane</t>
  </si>
  <si>
    <t>21971771212</t>
  </si>
  <si>
    <t>L1-125 161__Maria Do Forro</t>
  </si>
  <si>
    <t>21971863581</t>
  </si>
  <si>
    <t>L1-126 162__Rodrigo</t>
  </si>
  <si>
    <t>L1-127 163__Jorge</t>
  </si>
  <si>
    <t>21972034226</t>
  </si>
  <si>
    <t>L1-128 164__Rafael</t>
  </si>
  <si>
    <t>21972056631</t>
  </si>
  <si>
    <t>L1-129 165__Ricardo</t>
  </si>
  <si>
    <t>21972112757</t>
  </si>
  <si>
    <t>L1-130 166__Antonio</t>
  </si>
  <si>
    <t>21972130976</t>
  </si>
  <si>
    <t>L1-131 167__Francisco Romano</t>
  </si>
  <si>
    <t>21972138290</t>
  </si>
  <si>
    <t>L1-132 168__Fabrizzio</t>
  </si>
  <si>
    <t>21972211398</t>
  </si>
  <si>
    <t>L1-133 169__Fabio Mk</t>
  </si>
  <si>
    <t>21972555793</t>
  </si>
  <si>
    <t>L1-134 170__Vasco</t>
  </si>
  <si>
    <t>21972587426</t>
  </si>
  <si>
    <t>L1-135 171__Josias</t>
  </si>
  <si>
    <t>21972744421</t>
  </si>
  <si>
    <t>L1-136 172__Lucas Dantas</t>
  </si>
  <si>
    <t>21972792837</t>
  </si>
  <si>
    <t>L1-137 173__Luiz Amaral</t>
  </si>
  <si>
    <t>21973083717</t>
  </si>
  <si>
    <t>L1-138 174__Angela</t>
  </si>
  <si>
    <t>21973192045</t>
  </si>
  <si>
    <t>L1-139 175__Rodrigo Costa</t>
  </si>
  <si>
    <t>21973516254</t>
  </si>
  <si>
    <t>L1-140 176__Rafael Henrique</t>
  </si>
  <si>
    <t>21973599072</t>
  </si>
  <si>
    <t>L1-141 177__Alexandra</t>
  </si>
  <si>
    <t>21973709133</t>
  </si>
  <si>
    <t>L1-142 178__Neusa Motta(Marcelo)</t>
  </si>
  <si>
    <t>21973863670</t>
  </si>
  <si>
    <t>L1-143 179__Sandreya Gomes</t>
  </si>
  <si>
    <t>21973886316</t>
  </si>
  <si>
    <t>L1-144 180__Fernanda Dias</t>
  </si>
  <si>
    <t>21973932859</t>
  </si>
  <si>
    <t>L1-145 181__Leo Lima Padre Miguel</t>
  </si>
  <si>
    <t>21973972047</t>
  </si>
  <si>
    <t>L1-146 182__Lucas Xavier / Patricia</t>
  </si>
  <si>
    <t>21974005898</t>
  </si>
  <si>
    <t>L1-147 183__Cristina</t>
  </si>
  <si>
    <t>21974023140</t>
  </si>
  <si>
    <t>L1-149 185__Bruno</t>
  </si>
  <si>
    <t>21974146263</t>
  </si>
  <si>
    <t>L1-150 186__Melissa Rodrigues</t>
  </si>
  <si>
    <t>21974305682</t>
  </si>
  <si>
    <t>L1-151 187__Paulo</t>
  </si>
  <si>
    <t>21974543839</t>
  </si>
  <si>
    <t>L1-152 188__Lima Ramos</t>
  </si>
  <si>
    <t>21974612789</t>
  </si>
  <si>
    <t>L1-153 189__Maria Daniella / Pedro</t>
  </si>
  <si>
    <t>21974630303</t>
  </si>
  <si>
    <t>L1-154 190__Vanessa</t>
  </si>
  <si>
    <t>21974802575</t>
  </si>
  <si>
    <t>L1-155 191__Flavio Lopes</t>
  </si>
  <si>
    <t>21974857789</t>
  </si>
  <si>
    <t>L1-156 192__David/Debora</t>
  </si>
  <si>
    <t>21974927026</t>
  </si>
  <si>
    <t>L1-157 193__Diego</t>
  </si>
  <si>
    <t>21974950824</t>
  </si>
  <si>
    <t>L1-158 194__Julia Ferreira</t>
  </si>
  <si>
    <t>21975246555</t>
  </si>
  <si>
    <t>L1-159 195__Joao São Cristovao</t>
  </si>
  <si>
    <t>21975327830</t>
  </si>
  <si>
    <t>L1-160 196__Derlyane</t>
  </si>
  <si>
    <t>21975602365</t>
  </si>
  <si>
    <t>L1-161 197__Rafael</t>
  </si>
  <si>
    <t>21975725257</t>
  </si>
  <si>
    <t>L1-162 198__Kamila Carpi</t>
  </si>
  <si>
    <t>21975945112</t>
  </si>
  <si>
    <t>L1-163 199__Andreia</t>
  </si>
  <si>
    <t>21976023932</t>
  </si>
  <si>
    <t>L1-164 200__Luan</t>
  </si>
  <si>
    <t>21976055455</t>
  </si>
  <si>
    <t>L1-165 201__Jose Francisco</t>
  </si>
  <si>
    <t>21976314375</t>
  </si>
  <si>
    <t>L1-166 202__Ruth Maria</t>
  </si>
  <si>
    <t>21976366186</t>
  </si>
  <si>
    <t>L1-167 203__Tatiane</t>
  </si>
  <si>
    <t>21976408956</t>
  </si>
  <si>
    <t>L1-168 204__Marcelo</t>
  </si>
  <si>
    <t>21976414667</t>
  </si>
  <si>
    <t>L1-169 205__Alexandre Alvim</t>
  </si>
  <si>
    <t>21977099428</t>
  </si>
  <si>
    <t>L1-170 206__Nadia</t>
  </si>
  <si>
    <t>21977107854</t>
  </si>
  <si>
    <t>L1-171 207__Jeaen Garcia</t>
  </si>
  <si>
    <t>21977176139</t>
  </si>
  <si>
    <t>L1-172 208__Andre Barbosa</t>
  </si>
  <si>
    <t>21977402544</t>
  </si>
  <si>
    <t>L1-173 209__Ronaldo</t>
  </si>
  <si>
    <t>21977437412</t>
  </si>
  <si>
    <t>L1-174 210__Diogo Medeiros Ant Barbara</t>
  </si>
  <si>
    <t>21977501074</t>
  </si>
  <si>
    <t>L1-175 211__Rodrigo</t>
  </si>
  <si>
    <t>21978835775</t>
  </si>
  <si>
    <t>L1-176 212__Travel -Camile</t>
  </si>
  <si>
    <t>21979337859</t>
  </si>
  <si>
    <t>L1-177 213__Nivea</t>
  </si>
  <si>
    <t>21979495918</t>
  </si>
  <si>
    <t>L1-178 214__Lucas</t>
  </si>
  <si>
    <t>21979723287</t>
  </si>
  <si>
    <t>L1-179 215__Elisa</t>
  </si>
  <si>
    <t>21979740016</t>
  </si>
  <si>
    <t>L1-180 216__Leandro Thompson</t>
  </si>
  <si>
    <t>21979755450</t>
  </si>
  <si>
    <t>L1-181 217__Boca</t>
  </si>
  <si>
    <t>21979831462</t>
  </si>
  <si>
    <t>L1-182 218__Paulo Vitor Toperson</t>
  </si>
  <si>
    <t>21979838250</t>
  </si>
  <si>
    <t>L1-183 219__Thailine</t>
  </si>
  <si>
    <t>21979929010</t>
  </si>
  <si>
    <t>L1-184 220__Marcus/Jorge Gomes</t>
  </si>
  <si>
    <t>21980004667</t>
  </si>
  <si>
    <t>L1-185 221__Willian</t>
  </si>
  <si>
    <t>21980140420</t>
  </si>
  <si>
    <t>BASICO</t>
  </si>
  <si>
    <t>L1-186 222__Ana Lea</t>
  </si>
  <si>
    <t>21980140773</t>
  </si>
  <si>
    <t>L1-187 223__Beatriz</t>
  </si>
  <si>
    <t>21980413856</t>
  </si>
  <si>
    <t>L1-188 224__Aline</t>
  </si>
  <si>
    <t>21980461413</t>
  </si>
  <si>
    <t>L1-189 225__Fernando Bueno</t>
  </si>
  <si>
    <t>21980565353</t>
  </si>
  <si>
    <t>L1-190 226__Tony</t>
  </si>
  <si>
    <t>21980706126</t>
  </si>
  <si>
    <t>L1-191 227__Thiago</t>
  </si>
  <si>
    <t>21980811638</t>
  </si>
  <si>
    <t>L1-192 228__Giberto</t>
  </si>
  <si>
    <t>21980859231</t>
  </si>
  <si>
    <t>L1-193 229__Jorge</t>
  </si>
  <si>
    <t>21980864761</t>
  </si>
  <si>
    <t>L1-194 230__Antonio Abreu</t>
  </si>
  <si>
    <t>21980901638</t>
  </si>
  <si>
    <t>L1-195 231__Roberta Oliveira</t>
  </si>
  <si>
    <t>21981031023</t>
  </si>
  <si>
    <t>L1-196 232__Eduardo Prado</t>
  </si>
  <si>
    <t>21981049274</t>
  </si>
  <si>
    <t>L1-197 233__Lucas Vieira</t>
  </si>
  <si>
    <t>21981113806</t>
  </si>
  <si>
    <t>L1-198 234__Milena</t>
  </si>
  <si>
    <t>21981115855</t>
  </si>
  <si>
    <t>L1-199 235__Antonio Carlos</t>
  </si>
  <si>
    <t>21981149764</t>
  </si>
  <si>
    <t>L1-200 236__Luciana</t>
  </si>
  <si>
    <t>21981244299</t>
  </si>
  <si>
    <t>L1-201 237__Vitor</t>
  </si>
  <si>
    <t>21981331426</t>
  </si>
  <si>
    <t>L1-202 238__Tatiana Dos Santos</t>
  </si>
  <si>
    <t>21981368207</t>
  </si>
  <si>
    <t>L1-203 239__Edinei</t>
  </si>
  <si>
    <t>21981391237</t>
  </si>
  <si>
    <t>L1-204 240__Josemar Da Silva</t>
  </si>
  <si>
    <t>21981455551</t>
  </si>
  <si>
    <t>L1-205 241__Lucio Santos</t>
  </si>
  <si>
    <t>21981483599</t>
  </si>
  <si>
    <t>L1-206 242__Jorge</t>
  </si>
  <si>
    <t>21981569734</t>
  </si>
  <si>
    <t>L1-207 243__Deoclecio</t>
  </si>
  <si>
    <t>21981616107</t>
  </si>
  <si>
    <t>L1-208 244__Candido</t>
  </si>
  <si>
    <t>21981652575</t>
  </si>
  <si>
    <t>L1-209 245__Andrea</t>
  </si>
  <si>
    <t>21981658296</t>
  </si>
  <si>
    <t>L1-210 246__Antonio Souza</t>
  </si>
  <si>
    <t>21981670705</t>
  </si>
  <si>
    <t>L1-211 247__Taiane</t>
  </si>
  <si>
    <t>21981680884</t>
  </si>
  <si>
    <t>L1-212 248__Vera Santoro</t>
  </si>
  <si>
    <t>21981693649</t>
  </si>
  <si>
    <t>L1-213 249__Frederico</t>
  </si>
  <si>
    <t>21981738594</t>
  </si>
  <si>
    <t>L1-214 250__Vinicius Carvalho</t>
  </si>
  <si>
    <t>21981855192</t>
  </si>
  <si>
    <t>L1-215 251__George Vieira</t>
  </si>
  <si>
    <t>21982027002</t>
  </si>
  <si>
    <t>L1-216 252__ Eduardo</t>
  </si>
  <si>
    <t>21982068300</t>
  </si>
  <si>
    <t>L1-217 253__Marcelo Ribeiro</t>
  </si>
  <si>
    <t>21982086040</t>
  </si>
  <si>
    <t>L1-218 254__Rafael Avilheira (Ras)</t>
  </si>
  <si>
    <t>21982103956</t>
  </si>
  <si>
    <t>L1-219 255__Luana Feira</t>
  </si>
  <si>
    <t>21982173835</t>
  </si>
  <si>
    <t>L1-220 256__Alberto</t>
  </si>
  <si>
    <t>21982214284</t>
  </si>
  <si>
    <t>L1-221 257__Adislan</t>
  </si>
  <si>
    <t>21982245680</t>
  </si>
  <si>
    <t>L1-222 258__Marluce</t>
  </si>
  <si>
    <t>21982269649</t>
  </si>
  <si>
    <t>L1-223 259__Charles</t>
  </si>
  <si>
    <t>21982271044</t>
  </si>
  <si>
    <t>L1-224 260__Leonardo</t>
  </si>
  <si>
    <t>21982296332</t>
  </si>
  <si>
    <t>L1-225 261__Carlos Bel</t>
  </si>
  <si>
    <t>21982326297</t>
  </si>
  <si>
    <t>L1-226 262__Gloria</t>
  </si>
  <si>
    <t>21982379029</t>
  </si>
  <si>
    <t>L1-227 263__Lili</t>
  </si>
  <si>
    <t>21982538116</t>
  </si>
  <si>
    <t>L1-228 264__Amanda</t>
  </si>
  <si>
    <t>21982646757</t>
  </si>
  <si>
    <t>L1-229 265__Michelle</t>
  </si>
  <si>
    <t>21982708370</t>
  </si>
  <si>
    <t>L1-230 266__Wesley</t>
  </si>
  <si>
    <t>21982731970</t>
  </si>
  <si>
    <t>L1-231 267__Sergio</t>
  </si>
  <si>
    <t>21982774919</t>
  </si>
  <si>
    <t>L1-232 268__Ju</t>
  </si>
  <si>
    <t>21982775220</t>
  </si>
  <si>
    <t>L1-233 269__Evelyn</t>
  </si>
  <si>
    <t>21982788575</t>
  </si>
  <si>
    <t>L1-234 270__Carlos</t>
  </si>
  <si>
    <t>21982800865</t>
  </si>
  <si>
    <t>L1-235 271__Danielle</t>
  </si>
  <si>
    <t>21982812472</t>
  </si>
  <si>
    <t>L1-236 272__Gisele</t>
  </si>
  <si>
    <t>21982854491</t>
  </si>
  <si>
    <t>L1-237 273__Fabio</t>
  </si>
  <si>
    <t>21982858950</t>
  </si>
  <si>
    <t>L1-238 274__Ana Luiza</t>
  </si>
  <si>
    <t>21982902010</t>
  </si>
  <si>
    <t>L1-239 275__Jorge Careca</t>
  </si>
  <si>
    <t>21982988289</t>
  </si>
  <si>
    <t>L1-240 276__Thais</t>
  </si>
  <si>
    <t>21983132910</t>
  </si>
  <si>
    <t>L1-241 277__Gisana</t>
  </si>
  <si>
    <t>21983333822</t>
  </si>
  <si>
    <t>L1-242 278__Luiz Gustavo</t>
  </si>
  <si>
    <t>21983540131</t>
  </si>
  <si>
    <t>L1-243 279__Manoel</t>
  </si>
  <si>
    <t>21983651161</t>
  </si>
  <si>
    <t>L1-244 280__Sandra</t>
  </si>
  <si>
    <t>21983669054</t>
  </si>
  <si>
    <t>L1-245 281__Silvio</t>
  </si>
  <si>
    <t>L1-246 282__Alexandre Luiz</t>
  </si>
  <si>
    <t>21983758587</t>
  </si>
  <si>
    <t>L1-247 283__Ricardo</t>
  </si>
  <si>
    <t>21983935928</t>
  </si>
  <si>
    <t>L1-248 284__Simone/Mauro</t>
  </si>
  <si>
    <t>21984069196</t>
  </si>
  <si>
    <t>L1-249 285__Suellen Paineiras</t>
  </si>
  <si>
    <t>21984268086</t>
  </si>
  <si>
    <t>L1-250 286__Andre Narguile</t>
  </si>
  <si>
    <t>21984529374</t>
  </si>
  <si>
    <t>L2-251 287__Marcio Jorge</t>
  </si>
  <si>
    <t>21984609609</t>
  </si>
  <si>
    <t>L2-252 288__Vivi</t>
  </si>
  <si>
    <t>21984678701</t>
  </si>
  <si>
    <t>L2-253 289__Daiana Alves</t>
  </si>
  <si>
    <t>21984953051</t>
  </si>
  <si>
    <t>L2-254 290__Vitor</t>
  </si>
  <si>
    <t>21985015066</t>
  </si>
  <si>
    <t>L2-255 291__Jade Fragoso</t>
  </si>
  <si>
    <t>21985031621</t>
  </si>
  <si>
    <t>L2-256 292__Roberto E Cris</t>
  </si>
  <si>
    <t>21985097205</t>
  </si>
  <si>
    <t>L2-257 293__Cassiano</t>
  </si>
  <si>
    <t>21985124698</t>
  </si>
  <si>
    <t>L2-258 294__Rodrigo</t>
  </si>
  <si>
    <t>21985392003</t>
  </si>
  <si>
    <t>L2-259 295__Faby</t>
  </si>
  <si>
    <t>21985598270</t>
  </si>
  <si>
    <t>L2-260 296__Teresinha</t>
  </si>
  <si>
    <t>21985789697</t>
  </si>
  <si>
    <t>L2-261 297__Sidney Taquara</t>
  </si>
  <si>
    <t>21986015020</t>
  </si>
  <si>
    <t>L2-262 298__Dani Santiago</t>
  </si>
  <si>
    <t>21986046055</t>
  </si>
  <si>
    <t>L2-263 299__Eduardo Neves</t>
  </si>
  <si>
    <t>21986182721</t>
  </si>
  <si>
    <t>L2-264 300__Julia</t>
  </si>
  <si>
    <t>21986248884</t>
  </si>
  <si>
    <t>L2-265 301__Ana Paula</t>
  </si>
  <si>
    <t>21986303290</t>
  </si>
  <si>
    <t>L2-266 302__Andre</t>
  </si>
  <si>
    <t>K DO CG</t>
  </si>
  <si>
    <t>21986314226</t>
  </si>
  <si>
    <t>L2-267 303__Aline</t>
  </si>
  <si>
    <t>21986408394</t>
  </si>
  <si>
    <t>L2-268 304__Marcela</t>
  </si>
  <si>
    <t>21986440159</t>
  </si>
  <si>
    <t>L2-269 305__Gabriela</t>
  </si>
  <si>
    <t>21986944860</t>
  </si>
  <si>
    <t>L2-270 306__Paulo</t>
  </si>
  <si>
    <t>CANTA OKE</t>
  </si>
  <si>
    <t>21987026680</t>
  </si>
  <si>
    <t>L2-271 307__Frank</t>
  </si>
  <si>
    <t>21987140808</t>
  </si>
  <si>
    <t>L2-272 308__André</t>
  </si>
  <si>
    <t>21987216350</t>
  </si>
  <si>
    <t>L2-273 309__Simone</t>
  </si>
  <si>
    <t>21987346005</t>
  </si>
  <si>
    <t>L2-274 310__Leo</t>
  </si>
  <si>
    <t>21987387559</t>
  </si>
  <si>
    <t>L2-275 311__Patricia</t>
  </si>
  <si>
    <t>21987470726</t>
  </si>
  <si>
    <t>L2-276 312__Jack</t>
  </si>
  <si>
    <t>21987572104</t>
  </si>
  <si>
    <t>L2-277 313__Yuri</t>
  </si>
  <si>
    <t>21987595930</t>
  </si>
  <si>
    <t>L2-278 314__Marcio Barbosa</t>
  </si>
  <si>
    <t>21987608039</t>
  </si>
  <si>
    <t>L2-279 315__Ana Paula De Oliveira</t>
  </si>
  <si>
    <t>21987641615</t>
  </si>
  <si>
    <t>L2-280 316__Jemerson</t>
  </si>
  <si>
    <t>21987669321</t>
  </si>
  <si>
    <t>L2-281 317__Rafael Barbosa</t>
  </si>
  <si>
    <t>21987848704</t>
  </si>
  <si>
    <t>L2-282 318__Gabriel</t>
  </si>
  <si>
    <t>21987958704</t>
  </si>
  <si>
    <t>L2-283 319__Bianca</t>
  </si>
  <si>
    <t>21988066271</t>
  </si>
  <si>
    <t>L2-284 320__Romulo De Mello</t>
  </si>
  <si>
    <t>21988282845</t>
  </si>
  <si>
    <t>L2-285 321__Roseni Miranda</t>
  </si>
  <si>
    <t>21988316218</t>
  </si>
  <si>
    <t>L2-286 322__Enilda</t>
  </si>
  <si>
    <t>21988344062</t>
  </si>
  <si>
    <t>L2-287 323__Patrícia Souza</t>
  </si>
  <si>
    <t>21988389572</t>
  </si>
  <si>
    <t>L2-288 324__Marli</t>
  </si>
  <si>
    <t>21988466768</t>
  </si>
  <si>
    <t>L2-289 325__Luana</t>
  </si>
  <si>
    <t>21988564642</t>
  </si>
  <si>
    <t>L2-290 326__Alex Sandro</t>
  </si>
  <si>
    <t>21988588161</t>
  </si>
  <si>
    <t>L2-291 327__Hojana/ Rogerio</t>
  </si>
  <si>
    <t>21988616193</t>
  </si>
  <si>
    <t>L2-292 328__Carlos Augusto</t>
  </si>
  <si>
    <t>21988691646</t>
  </si>
  <si>
    <t>L2-293 329__Sheila</t>
  </si>
  <si>
    <t>21988782989</t>
  </si>
  <si>
    <t>L2-294 330__Denise Carvalho</t>
  </si>
  <si>
    <t>21988844169</t>
  </si>
  <si>
    <t>L2-295 331__Evellyn Ramos</t>
  </si>
  <si>
    <t>21988883758</t>
  </si>
  <si>
    <t>L2-296 332__Priscila</t>
  </si>
  <si>
    <t>21988995509</t>
  </si>
  <si>
    <t>L2-297 333__Marilene</t>
  </si>
  <si>
    <t>21989330532</t>
  </si>
  <si>
    <t>L2-298 334__Figueira</t>
  </si>
  <si>
    <t>21990192323</t>
  </si>
  <si>
    <t>L2-299 335__Ana Beatriz</t>
  </si>
  <si>
    <t>21990431182</t>
  </si>
  <si>
    <t>L2-300 336__Barbara Gomes</t>
  </si>
  <si>
    <t>21990772958</t>
  </si>
  <si>
    <t>L2-301 337__Cristiano Valério</t>
  </si>
  <si>
    <t>21990842685</t>
  </si>
  <si>
    <t>L2-302 338__Rafael Phillips</t>
  </si>
  <si>
    <t>21991074238</t>
  </si>
  <si>
    <t>L2-303 339__Fabi</t>
  </si>
  <si>
    <t>K DA FABI</t>
  </si>
  <si>
    <t>21991216434</t>
  </si>
  <si>
    <t>L2-304 340__Gilda</t>
  </si>
  <si>
    <t>21991253148</t>
  </si>
  <si>
    <t>L2-305 341__Jaqueline Paula</t>
  </si>
  <si>
    <t>21991301741</t>
  </si>
  <si>
    <t>L2-306 342__Felizardo</t>
  </si>
  <si>
    <t>21991320451</t>
  </si>
  <si>
    <t>L2-307 343__Thaissa</t>
  </si>
  <si>
    <t>21991385460</t>
  </si>
  <si>
    <t>L2-308 344__Patricia / Deivid</t>
  </si>
  <si>
    <t>21991401441</t>
  </si>
  <si>
    <t>L2-309 345__Rafael (Leozinho</t>
  </si>
  <si>
    <t>21991465107</t>
  </si>
  <si>
    <t>L2-310 346__Willian</t>
  </si>
  <si>
    <t>21991656018</t>
  </si>
  <si>
    <t>L2-311 347__Anderson Cuba</t>
  </si>
  <si>
    <t>21991759077</t>
  </si>
  <si>
    <t>L2-312 348__Jorge Gomes/Mauro</t>
  </si>
  <si>
    <t>21991856512</t>
  </si>
  <si>
    <t>L2-313 349__Giseli Barboza</t>
  </si>
  <si>
    <t>21991913047</t>
  </si>
  <si>
    <t>L2-314 350__Paula</t>
  </si>
  <si>
    <t>21991931737</t>
  </si>
  <si>
    <t>L2-315 351__Margarida</t>
  </si>
  <si>
    <t>21991950287</t>
  </si>
  <si>
    <t>L2-316 352__Bruna</t>
  </si>
  <si>
    <t>21992092735</t>
  </si>
  <si>
    <t>L2-317 353__Julio Cesar</t>
  </si>
  <si>
    <t>21992140417</t>
  </si>
  <si>
    <t>L2-318 354__Daniel\Marcely</t>
  </si>
  <si>
    <t>21992193470</t>
  </si>
  <si>
    <t>L2-319 355__Lk Brinquedos</t>
  </si>
  <si>
    <t>21992306854</t>
  </si>
  <si>
    <t>L2-320 356__Fernanda Vidal</t>
  </si>
  <si>
    <t>21992354880</t>
  </si>
  <si>
    <t>L2-321 357__Junior</t>
  </si>
  <si>
    <t>21992364554</t>
  </si>
  <si>
    <t>L2-322 358__Edson\Maria Gabriela</t>
  </si>
  <si>
    <t>21992482431</t>
  </si>
  <si>
    <t>L2-323 359__Angélica Ferreira</t>
  </si>
  <si>
    <t>21992756544</t>
  </si>
  <si>
    <t>L2-324 360__Jaqueline</t>
  </si>
  <si>
    <t>21992863240</t>
  </si>
  <si>
    <t>L2-325 361__Felipe</t>
  </si>
  <si>
    <t>21992905463</t>
  </si>
  <si>
    <t>L2-326 362__Wagner Luiz</t>
  </si>
  <si>
    <t>21992965699</t>
  </si>
  <si>
    <t>L2-327 363__Fabiana</t>
  </si>
  <si>
    <t>21992983077</t>
  </si>
  <si>
    <t>L2-328 364__Eliel Alexandre Cabo Frio</t>
  </si>
  <si>
    <t>21993032403</t>
  </si>
  <si>
    <t>L2-329 365__ Cristian Luis</t>
  </si>
  <si>
    <t>21993213459</t>
  </si>
  <si>
    <t>L2-330 366__Rafael Albuquerque</t>
  </si>
  <si>
    <t>21993243018</t>
  </si>
  <si>
    <t>L2-331 367__Roberta Monteiro</t>
  </si>
  <si>
    <t>21993460100</t>
  </si>
  <si>
    <t>L2-332 368__Renato</t>
  </si>
  <si>
    <t>21993781748</t>
  </si>
  <si>
    <t>L2-333 369__Bruna</t>
  </si>
  <si>
    <t>21994022887</t>
  </si>
  <si>
    <t>L2-334 370__Rosana</t>
  </si>
  <si>
    <t>21994047808</t>
  </si>
  <si>
    <t>L2-335 371__Renato</t>
  </si>
  <si>
    <t>21994124232</t>
  </si>
  <si>
    <t>L2-336 372__Marcelo Da Cunha</t>
  </si>
  <si>
    <t>21994259242</t>
  </si>
  <si>
    <t>L2-337 373__Alexandre</t>
  </si>
  <si>
    <t>21994430069</t>
  </si>
  <si>
    <t>L2-338 374__Miguel</t>
  </si>
  <si>
    <t>21994626938</t>
  </si>
  <si>
    <t>L2-339 375__Ricardo</t>
  </si>
  <si>
    <t>21994666293</t>
  </si>
  <si>
    <t>L2-340 376__Felipe</t>
  </si>
  <si>
    <t>21994761737</t>
  </si>
  <si>
    <t>L2-341 377__Jose Roberto</t>
  </si>
  <si>
    <t>21994777509</t>
  </si>
  <si>
    <t>L2-342 378__Jessica</t>
  </si>
  <si>
    <t>CAJE</t>
  </si>
  <si>
    <t>21994938847</t>
  </si>
  <si>
    <t>L2-343 379__Guilherme</t>
  </si>
  <si>
    <t>21994998345</t>
  </si>
  <si>
    <t>L2-344 380__Karina</t>
  </si>
  <si>
    <t>21995061081</t>
  </si>
  <si>
    <t>L2-345 381__Carlos</t>
  </si>
  <si>
    <t>21995111593</t>
  </si>
  <si>
    <t>L2-346 382__Welignton Ferreira</t>
  </si>
  <si>
    <t>21995129124</t>
  </si>
  <si>
    <t>L2-347 383__Amanda Olimpo</t>
  </si>
  <si>
    <t>21995138719</t>
  </si>
  <si>
    <t>L2-348 384__Fabio De Luca</t>
  </si>
  <si>
    <t>21995218556</t>
  </si>
  <si>
    <t>L2-349 385__Vanessa Veronez</t>
  </si>
  <si>
    <t>21995465901</t>
  </si>
  <si>
    <t>L2-350 386__Vinicius</t>
  </si>
  <si>
    <t>21995585556</t>
  </si>
  <si>
    <t>L2-351 387__Rafael</t>
  </si>
  <si>
    <t>21995622162</t>
  </si>
  <si>
    <t>L2-352 388__Felipe</t>
  </si>
  <si>
    <t>21995660797</t>
  </si>
  <si>
    <t>L2-353 389__Rodolpho</t>
  </si>
  <si>
    <t>21995688399</t>
  </si>
  <si>
    <t>L2-354 390__Carlos</t>
  </si>
  <si>
    <t>21995902530</t>
  </si>
  <si>
    <t>L2-355 391__Eduardo Lima / Sandy</t>
  </si>
  <si>
    <t>21995957962</t>
  </si>
  <si>
    <t>L2-356 392__Julio Santos</t>
  </si>
  <si>
    <t>21995980902</t>
  </si>
  <si>
    <t>L2-357 393__Thalita Stevenes</t>
  </si>
  <si>
    <t>21996034890</t>
  </si>
  <si>
    <t>L2-358 394__Mike</t>
  </si>
  <si>
    <t>21996057379</t>
  </si>
  <si>
    <t>L2-359 395__Alan</t>
  </si>
  <si>
    <t>AL</t>
  </si>
  <si>
    <t>21996091581</t>
  </si>
  <si>
    <t>L2-360 396__Fernando</t>
  </si>
  <si>
    <t>21996104224</t>
  </si>
  <si>
    <t>L2-361 397__Guilherme / Bruno</t>
  </si>
  <si>
    <t>21996106541</t>
  </si>
  <si>
    <t>L2-362 398__Gabriel Fernandes</t>
  </si>
  <si>
    <t>21996194946</t>
  </si>
  <si>
    <t>L2-363 399__Adilson Alves/ Junior</t>
  </si>
  <si>
    <t>21996401848</t>
  </si>
  <si>
    <t>L2-364 400__Claudia</t>
  </si>
  <si>
    <t>21996526535</t>
  </si>
  <si>
    <t>L2-365 401__Mauricio Ricardo</t>
  </si>
  <si>
    <t>21996547844</t>
  </si>
  <si>
    <t>L2-366 402__Beatriz</t>
  </si>
  <si>
    <t>K DA BEATRIZ</t>
  </si>
  <si>
    <t>21996584245</t>
  </si>
  <si>
    <t>L2-367 403__Daniel</t>
  </si>
  <si>
    <t>21996675674</t>
  </si>
  <si>
    <t>L2-368 404__Walcyra/ Jose Augusto</t>
  </si>
  <si>
    <t>21996708138</t>
  </si>
  <si>
    <t>L2-369 405__Diogo Guimaraes</t>
  </si>
  <si>
    <t>21996757866</t>
  </si>
  <si>
    <t>L2-370 406__Daniel Coutinho</t>
  </si>
  <si>
    <t>21996793074</t>
  </si>
  <si>
    <t>L2-371 407__Araujo</t>
  </si>
  <si>
    <t>K DO ARAUJO</t>
  </si>
  <si>
    <t>21996847692</t>
  </si>
  <si>
    <t>L2-372 408__Anderson</t>
  </si>
  <si>
    <t>21996882629</t>
  </si>
  <si>
    <t>L2-373 409__Dennis Dj</t>
  </si>
  <si>
    <t>21996931960</t>
  </si>
  <si>
    <t>L2-374 410__Jaqueline</t>
  </si>
  <si>
    <t>21997020883</t>
  </si>
  <si>
    <t>L2-375 411__Juliana</t>
  </si>
  <si>
    <t>21997214960</t>
  </si>
  <si>
    <t>L2-376 412__Renato</t>
  </si>
  <si>
    <t>21997221079</t>
  </si>
  <si>
    <t>L2-377 413__Fernando</t>
  </si>
  <si>
    <t>21997254914</t>
  </si>
  <si>
    <t>L2-378 414__Geraldo</t>
  </si>
  <si>
    <t>21997390522</t>
  </si>
  <si>
    <t>L2-379 415__Jeferson</t>
  </si>
  <si>
    <t>21997463954</t>
  </si>
  <si>
    <t>L2-380 416__Vandier Cruz</t>
  </si>
  <si>
    <t>21997516647</t>
  </si>
  <si>
    <t>L2-381 417__Paulo</t>
  </si>
  <si>
    <t>21997642543</t>
  </si>
  <si>
    <t>L2-382 418__Robson</t>
  </si>
  <si>
    <t>21997715378</t>
  </si>
  <si>
    <t>L2-383 419__Amanda</t>
  </si>
  <si>
    <t>21997751323</t>
  </si>
  <si>
    <t>L2-384 420__Rodrigo</t>
  </si>
  <si>
    <t>21997778461</t>
  </si>
  <si>
    <t>L2-385 421__Cecilia</t>
  </si>
  <si>
    <t>21997840691</t>
  </si>
  <si>
    <t>L2-386 422__Andre</t>
  </si>
  <si>
    <t>21997977620</t>
  </si>
  <si>
    <t>L2-387 423__Juliana</t>
  </si>
  <si>
    <t>21997999972</t>
  </si>
  <si>
    <t>L2-388 424__Nazare</t>
  </si>
  <si>
    <t>21998142885</t>
  </si>
  <si>
    <t>L2-389 425__Lorena Ribeiro</t>
  </si>
  <si>
    <t>21998594731</t>
  </si>
  <si>
    <t>L2-390 426__Renato</t>
  </si>
  <si>
    <t>21998637195</t>
  </si>
  <si>
    <t>L2-391 427__Karoline Carvalho/ Leonardo</t>
  </si>
  <si>
    <t>21998697184</t>
  </si>
  <si>
    <t>L2-392 428__Allan</t>
  </si>
  <si>
    <t>21998766621</t>
  </si>
  <si>
    <t>L2-393 429__Maxwel</t>
  </si>
  <si>
    <t>21998792324</t>
  </si>
  <si>
    <t>L2-394 430__Eshares / Felipe Martins</t>
  </si>
  <si>
    <t>21998817636</t>
  </si>
  <si>
    <t>L2-395 431__Bruno Santa Rosa</t>
  </si>
  <si>
    <t>21998818998</t>
  </si>
  <si>
    <t>L2-396 432__Fabia (Flávia Saraiva)</t>
  </si>
  <si>
    <t>21998865331</t>
  </si>
  <si>
    <t>L2-397 433__Renata</t>
  </si>
  <si>
    <t>21998936742</t>
  </si>
  <si>
    <t>L2-398 434__Paulo Cesar</t>
  </si>
  <si>
    <t>21998973598</t>
  </si>
  <si>
    <t>L2-399 435__Cristiano</t>
  </si>
  <si>
    <t>21999120013</t>
  </si>
  <si>
    <t>L2-400 436__Rodrigo</t>
  </si>
  <si>
    <t>21999380807</t>
  </si>
  <si>
    <t>L2-401 437__Luiz Felipe</t>
  </si>
  <si>
    <t>21999820773</t>
  </si>
  <si>
    <t>L2-402 438__Domingos Fernandes</t>
  </si>
  <si>
    <t>21999864162</t>
  </si>
  <si>
    <t>L2-403 439__Julia</t>
  </si>
  <si>
    <t>21999868999</t>
  </si>
  <si>
    <t>L2-404 440__Neylane</t>
  </si>
  <si>
    <t>21999875566</t>
  </si>
  <si>
    <t>L2-405 441__Izabella</t>
  </si>
  <si>
    <t>21999917353</t>
  </si>
  <si>
    <t>L2-406 442__Guilherme / Gisela</t>
  </si>
  <si>
    <t>22974006300</t>
  </si>
  <si>
    <t>L2-407 443__Patrick - DEBORA</t>
  </si>
  <si>
    <t>MEGA KIDS</t>
  </si>
  <si>
    <t>L2-408 444__Alcir</t>
  </si>
  <si>
    <t>22981140473</t>
  </si>
  <si>
    <t>L2-409 445__Kamila Sardinha</t>
  </si>
  <si>
    <t>22981249621</t>
  </si>
  <si>
    <t>L2-410 446__Francisco</t>
  </si>
  <si>
    <t>22981582008</t>
  </si>
  <si>
    <t>L2-411 447__Edson Fábio De Oliveira Macae</t>
  </si>
  <si>
    <t>22988018232</t>
  </si>
  <si>
    <t>L2-412 448__Gabriel Saquarema</t>
  </si>
  <si>
    <t>22988032271</t>
  </si>
  <si>
    <t>L2-413 449__Beatriz Barbosa</t>
  </si>
  <si>
    <t>22988181644</t>
  </si>
  <si>
    <t>L2-414 450__Rodrigo</t>
  </si>
  <si>
    <t>22988547588</t>
  </si>
  <si>
    <t>L2-415 451__Patricia De Carvalho</t>
  </si>
  <si>
    <t>22992285131</t>
  </si>
  <si>
    <t>L2-416 452__Cristiane</t>
  </si>
  <si>
    <t>22992419355</t>
  </si>
  <si>
    <t>L2-417 453__Jeferson</t>
  </si>
  <si>
    <t>22992677676</t>
  </si>
  <si>
    <t>L2-418 454__Elizabeth</t>
  </si>
  <si>
    <t>22996063634</t>
  </si>
  <si>
    <t>L2-419 455__Simone</t>
  </si>
  <si>
    <t>22996121408</t>
  </si>
  <si>
    <t>L2-420 456__Jackeline Costa</t>
  </si>
  <si>
    <t>22997053926</t>
  </si>
  <si>
    <t>L2-421 457__</t>
  </si>
  <si>
    <t>22997996612</t>
  </si>
  <si>
    <t>L2-422 458__Henrique</t>
  </si>
  <si>
    <t>22998274801</t>
  </si>
  <si>
    <t>L2-423 459__Renata Moraes</t>
  </si>
  <si>
    <t>22998357094</t>
  </si>
  <si>
    <t>L2-424 460__Roney Chagas \ Samantha</t>
  </si>
  <si>
    <t>22998742622</t>
  </si>
  <si>
    <t>L2-425 461__Leandro</t>
  </si>
  <si>
    <t>22999028868</t>
  </si>
  <si>
    <t>L2-426 462__Dalva</t>
  </si>
  <si>
    <t>22999137408</t>
  </si>
  <si>
    <t>L2-427 463__Denis Arenas</t>
  </si>
  <si>
    <t>22999368417</t>
  </si>
  <si>
    <t>L2-428 464__Mauro Azevedo</t>
  </si>
  <si>
    <t>22999556855</t>
  </si>
  <si>
    <t>L2-429 465__George Roberto</t>
  </si>
  <si>
    <t>22999673589</t>
  </si>
  <si>
    <t>L2-430 466__Thamiris</t>
  </si>
  <si>
    <t>22999845272</t>
  </si>
  <si>
    <t>L2-431 467__Welliton</t>
  </si>
  <si>
    <t>22999883566</t>
  </si>
  <si>
    <t>L2-432 468__Lenemar Da Silva</t>
  </si>
  <si>
    <t>22999898913</t>
  </si>
  <si>
    <t>L2-433 469__Ana Paula</t>
  </si>
  <si>
    <t>24981287178</t>
  </si>
  <si>
    <t>L2-434 470__Fabio</t>
  </si>
  <si>
    <t>24981434365</t>
  </si>
  <si>
    <t>L2-435 471__Simone Vargas</t>
  </si>
  <si>
    <t>24981824706</t>
  </si>
  <si>
    <t>L2-436 472__Josildo Gomes</t>
  </si>
  <si>
    <t>24981865419</t>
  </si>
  <si>
    <t>L2-437 473__Patrícia</t>
  </si>
  <si>
    <t>24988057664</t>
  </si>
  <si>
    <t>L2-438 474__Inaiara</t>
  </si>
  <si>
    <t>24992295511</t>
  </si>
  <si>
    <t>L2-439 475__Rodrigo Paulino/ Cesar</t>
  </si>
  <si>
    <t>24992493642</t>
  </si>
  <si>
    <t>L2-440 476__Mario Montenegro</t>
  </si>
  <si>
    <t>24992598558</t>
  </si>
  <si>
    <t>L2-441 477__Anderson Cruzick</t>
  </si>
  <si>
    <t>24992667400</t>
  </si>
  <si>
    <t>L2-442 478__Edson</t>
  </si>
  <si>
    <t>24993280015</t>
  </si>
  <si>
    <t>L2-443 479__Alekes Oliveira</t>
  </si>
  <si>
    <t>24997461003</t>
  </si>
  <si>
    <t>L2-444 480__Itamara Parati</t>
  </si>
  <si>
    <t>24998164397</t>
  </si>
  <si>
    <t>L2-445 481__Roberto Cesar</t>
  </si>
  <si>
    <t>24998426493</t>
  </si>
  <si>
    <t>L2-446 482__Vagner</t>
  </si>
  <si>
    <t>24999112776</t>
  </si>
  <si>
    <t>L2-447 483__Leandro Lessa</t>
  </si>
  <si>
    <t>24999452812</t>
  </si>
  <si>
    <t>L2-448 484__Wagner</t>
  </si>
  <si>
    <t>BK</t>
  </si>
  <si>
    <t>BR-001 1__Crescencio</t>
  </si>
  <si>
    <t>11939527445</t>
  </si>
  <si>
    <t>BR-002 2__Jheny</t>
  </si>
  <si>
    <t>11940146980</t>
  </si>
  <si>
    <t>BR-003 3__Sergio Makiyama</t>
  </si>
  <si>
    <t>11943869962</t>
  </si>
  <si>
    <t>BR-004 4__Junior Cetra</t>
  </si>
  <si>
    <t>11947411832</t>
  </si>
  <si>
    <t>BR-005 5__Barbara Magalhaes</t>
  </si>
  <si>
    <t>11947571242</t>
  </si>
  <si>
    <t>BR-006 6__Euzeni Agustini</t>
  </si>
  <si>
    <t>11947773542</t>
  </si>
  <si>
    <t>BR-007 7__Marcelo</t>
  </si>
  <si>
    <t>11948342466</t>
  </si>
  <si>
    <t>BR-008 8__Anderson</t>
  </si>
  <si>
    <t>11948772851</t>
  </si>
  <si>
    <t>BR-009 9__Vanessa Carvalho</t>
  </si>
  <si>
    <t>11948779296</t>
  </si>
  <si>
    <t>BR-010 10__Fernando Santos</t>
  </si>
  <si>
    <t>11951534397</t>
  </si>
  <si>
    <t>BR-011 11__Fabiola</t>
  </si>
  <si>
    <t>11953165667</t>
  </si>
  <si>
    <t>BR-012 12__Sheila</t>
  </si>
  <si>
    <t>11956070390</t>
  </si>
  <si>
    <t>BR-013 13__Paschoal</t>
  </si>
  <si>
    <t>11973741020</t>
  </si>
  <si>
    <t>BR-014 14__Marcelo Gomes</t>
  </si>
  <si>
    <t>11981264434</t>
  </si>
  <si>
    <t>BR-015 15__Alexandre Lucena</t>
  </si>
  <si>
    <t>11981741558</t>
  </si>
  <si>
    <t>BR-016 16__Tatiane</t>
  </si>
  <si>
    <t>11982048096</t>
  </si>
  <si>
    <t>BR-017 17__Juliano Soares</t>
  </si>
  <si>
    <t>11982765973</t>
  </si>
  <si>
    <t>BR-018 18__Marcelo Cenedesi</t>
  </si>
  <si>
    <t>11989242241</t>
  </si>
  <si>
    <t>BR-019 19__Daniela Pelizoni</t>
  </si>
  <si>
    <t>11994002382</t>
  </si>
  <si>
    <t>BR-020 20__Mariane</t>
  </si>
  <si>
    <t>11995177714</t>
  </si>
  <si>
    <t>BR-021 21__Sergio</t>
  </si>
  <si>
    <t>11999403675</t>
  </si>
  <si>
    <t>BR-022 22__Marcia</t>
  </si>
  <si>
    <t>11999616086</t>
  </si>
  <si>
    <t>BR-023 23__Patrícia Marssulo</t>
  </si>
  <si>
    <t>11999918958</t>
  </si>
  <si>
    <t>BR-024 24__Vanessa Gonçalves</t>
  </si>
  <si>
    <t>12981128020</t>
  </si>
  <si>
    <t>BR-025 25__Clotilde</t>
  </si>
  <si>
    <t>12991620018</t>
  </si>
  <si>
    <t>BR-026 26__Valeria Calderalro</t>
  </si>
  <si>
    <t>12997194608</t>
  </si>
  <si>
    <t>BR-027 27__Luciene/ Eduardo</t>
  </si>
  <si>
    <t>13988601020</t>
  </si>
  <si>
    <t>BR-028 28__Paula</t>
  </si>
  <si>
    <t>13996768146</t>
  </si>
  <si>
    <t>BR-029 29__Angelica Lunaka</t>
  </si>
  <si>
    <t>15996434549</t>
  </si>
  <si>
    <t>BR-030 30__Rodrigo</t>
  </si>
  <si>
    <t>16982172301</t>
  </si>
  <si>
    <t>BR-031 31__Monalisa</t>
  </si>
  <si>
    <t>16997112955</t>
  </si>
  <si>
    <t>BR-032 32__Ricardo Pereira</t>
  </si>
  <si>
    <t>16999753678</t>
  </si>
  <si>
    <t>BR-033 33__Gustavo</t>
  </si>
  <si>
    <t>17868106424</t>
  </si>
  <si>
    <t>BR-034 34__Ricardo</t>
  </si>
  <si>
    <t>18996299484</t>
  </si>
  <si>
    <t>BR-035 35__Bruno</t>
  </si>
  <si>
    <t>19991037604</t>
  </si>
  <si>
    <t>BR-036 36__Jose Alexandro</t>
  </si>
  <si>
    <t>19991388063</t>
  </si>
  <si>
    <t>BR-037 484__Jose Alonso</t>
  </si>
  <si>
    <t>27996050018</t>
  </si>
  <si>
    <t>BR-038 485__Marcio</t>
  </si>
  <si>
    <t>28999761706</t>
  </si>
  <si>
    <t>BR-039 486__Hoelter</t>
  </si>
  <si>
    <t>31971091797</t>
  </si>
  <si>
    <t>BR-040 487__Eliene/Brenda</t>
  </si>
  <si>
    <t>31983317106</t>
  </si>
  <si>
    <t>BR-041 488__Joana Dar´C</t>
  </si>
  <si>
    <t>31991227644</t>
  </si>
  <si>
    <t>BR-042 489__Waldo Damião</t>
  </si>
  <si>
    <t>31991655811</t>
  </si>
  <si>
    <t>BR-043 490__Cristiane Barreto</t>
  </si>
  <si>
    <t>31992698238</t>
  </si>
  <si>
    <t>BR-044 491__Angela Valentino</t>
  </si>
  <si>
    <t>31993043887</t>
  </si>
  <si>
    <t>BR-045 492__Paulo</t>
  </si>
  <si>
    <t>31996323250</t>
  </si>
  <si>
    <t>BR-046 493__Aline Ludmila</t>
  </si>
  <si>
    <t>31996998673</t>
  </si>
  <si>
    <t>BR-047 494__Rodrigo Rodrigues</t>
  </si>
  <si>
    <t>32988528910</t>
  </si>
  <si>
    <t>BR-048 495__Daniel/ Guilherme</t>
  </si>
  <si>
    <t>32998430405</t>
  </si>
  <si>
    <t>BR-049 496__Wesley</t>
  </si>
  <si>
    <t>32999927323</t>
  </si>
  <si>
    <t>BR-050 497__Jonas</t>
  </si>
  <si>
    <t>35984174262</t>
  </si>
  <si>
    <t>BR-051 498__André Luiz</t>
  </si>
  <si>
    <t>35991733248</t>
  </si>
  <si>
    <t>BR-052 499__Renato Araújo</t>
  </si>
  <si>
    <t>35999650530</t>
  </si>
  <si>
    <t>BR-053 500__Laura Amaral</t>
  </si>
  <si>
    <t>37988278560</t>
  </si>
  <si>
    <t>BR-054 501__Eduardo</t>
  </si>
  <si>
    <t>37998091533</t>
  </si>
  <si>
    <t>BR-055 502__Renan</t>
  </si>
  <si>
    <t>37999559701</t>
  </si>
  <si>
    <t>BR-056 503__Hotel Pousada Boulevard</t>
  </si>
  <si>
    <t>41996152233</t>
  </si>
  <si>
    <t>BR-057 504__Priscilla Hecke/ Tony</t>
  </si>
  <si>
    <t>41996799235</t>
  </si>
  <si>
    <t>BR-058 505__Fabiola</t>
  </si>
  <si>
    <t>41996903666</t>
  </si>
  <si>
    <t>BR-059 506__Fernando</t>
  </si>
  <si>
    <t>42991140105</t>
  </si>
  <si>
    <t>BR-060 507__Leandro Monteiro - Maringa Pr</t>
  </si>
  <si>
    <t>44998885901</t>
  </si>
  <si>
    <t>BR-061 508__Fernando</t>
  </si>
  <si>
    <t>44999261671</t>
  </si>
  <si>
    <t>BR-062 509__Rose</t>
  </si>
  <si>
    <t>45999196434</t>
  </si>
  <si>
    <t>BR-063 510__Leandro</t>
  </si>
  <si>
    <t>45999355669</t>
  </si>
  <si>
    <t>BR-064 511__Fernando Da Cruz</t>
  </si>
  <si>
    <t>47988649178</t>
  </si>
  <si>
    <t>BR-065 512__Carlos Henrique</t>
  </si>
  <si>
    <t>47999761230</t>
  </si>
  <si>
    <t>BR-066 513__Aline Savi</t>
  </si>
  <si>
    <t>48991034002</t>
  </si>
  <si>
    <t>BR-067 514__Geyse</t>
  </si>
  <si>
    <t>48991554309</t>
  </si>
  <si>
    <t>BR-068 515__Graziela</t>
  </si>
  <si>
    <t>51985719713</t>
  </si>
  <si>
    <t>BR-069 516__Paulo Renato</t>
  </si>
  <si>
    <t>51995062099</t>
  </si>
  <si>
    <t>BR-070 517__Milton Bizarro</t>
  </si>
  <si>
    <t>51998069736</t>
  </si>
  <si>
    <t>BR-071 518__Rosângela Mena</t>
  </si>
  <si>
    <t>53999246991</t>
  </si>
  <si>
    <t>BR-072 519__Valéria</t>
  </si>
  <si>
    <t>53999438965</t>
  </si>
  <si>
    <t>BR-073 520__Lucas</t>
  </si>
  <si>
    <t>54984066565</t>
  </si>
  <si>
    <t>BR-074 521__Daniel</t>
  </si>
  <si>
    <t>54984285596</t>
  </si>
  <si>
    <t>BR-075 522__Juliana Pug</t>
  </si>
  <si>
    <t>61981290202</t>
  </si>
  <si>
    <t>BR-076 523__Raphael Sá</t>
  </si>
  <si>
    <t>61981519955</t>
  </si>
  <si>
    <t>BR-077 524__Patrícia Queiroz</t>
  </si>
  <si>
    <t>61992130037</t>
  </si>
  <si>
    <t>BR-078 525__Joao Paulo</t>
  </si>
  <si>
    <t>61993304730</t>
  </si>
  <si>
    <t>BR-079 526__Renard</t>
  </si>
  <si>
    <t>61996430652</t>
  </si>
  <si>
    <t>BR-080 527__James</t>
  </si>
  <si>
    <t>61996763868</t>
  </si>
  <si>
    <t>BR-081 528__Mirna / Jose Martins</t>
  </si>
  <si>
    <t>61998588468</t>
  </si>
  <si>
    <t>BR-082 529__Willer Tomaz</t>
  </si>
  <si>
    <t>61999621668</t>
  </si>
  <si>
    <t>BR-083 530__Rafael</t>
  </si>
  <si>
    <t>62982941903</t>
  </si>
  <si>
    <t>BR-084 531__Leandro Soares</t>
  </si>
  <si>
    <t>62998680152</t>
  </si>
  <si>
    <t>BR-085 532__Wires</t>
  </si>
  <si>
    <t>63981100793</t>
  </si>
  <si>
    <t>BR-086 533__Lua</t>
  </si>
  <si>
    <t>65992599745</t>
  </si>
  <si>
    <t>BR-087 534__Loester</t>
  </si>
  <si>
    <t>67984070289</t>
  </si>
  <si>
    <t>BR-088 535__Cassio/ Adubos Fertipol</t>
  </si>
  <si>
    <t>67996126414</t>
  </si>
  <si>
    <t>BR-089 536__Anderson</t>
  </si>
  <si>
    <t>67996750081</t>
  </si>
  <si>
    <t>BR-090 537__Evellyn Ferreira / Nathan</t>
  </si>
  <si>
    <t>67998844554</t>
  </si>
  <si>
    <t>BR-091 538__Marlei</t>
  </si>
  <si>
    <t>67999317628</t>
  </si>
  <si>
    <t>BR-092 539__Thiago Pizzini (Barão Marmitaria)</t>
  </si>
  <si>
    <t>67999713038</t>
  </si>
  <si>
    <t>BR-093 540__Cristiane Irmaos Gonçalvels</t>
  </si>
  <si>
    <t>69999823356</t>
  </si>
  <si>
    <t>BR-094 541__Adilson Castro</t>
  </si>
  <si>
    <t>71988888602</t>
  </si>
  <si>
    <t>BR-095 542__Adilson Castro</t>
  </si>
  <si>
    <t>71999191981</t>
  </si>
  <si>
    <t>BR-096 543__Andre Luiz</t>
  </si>
  <si>
    <t>71999776437</t>
  </si>
  <si>
    <t>BR-097 544__Carlito De Oliveira</t>
  </si>
  <si>
    <t>71999966530</t>
  </si>
  <si>
    <t>BR-098 545__Macilene Cristina</t>
  </si>
  <si>
    <t>81986327761</t>
  </si>
  <si>
    <t>BR-099 546__Vania Basmage</t>
  </si>
  <si>
    <t>83981822801</t>
  </si>
  <si>
    <t>BR-100 547__Alessandro</t>
  </si>
  <si>
    <t>83986400080</t>
  </si>
  <si>
    <t>BR-101 548__</t>
  </si>
  <si>
    <t>83991263325</t>
  </si>
  <si>
    <t>BR-102 549__Marcos Danilo</t>
  </si>
  <si>
    <t>BR-103 550__Davidson</t>
  </si>
  <si>
    <t>BR-104 551__Davidson Ramos</t>
  </si>
  <si>
    <t>92991813385</t>
  </si>
  <si>
    <t>BR-105 552__Ruy Roraima</t>
  </si>
  <si>
    <t>92992701114</t>
  </si>
  <si>
    <t>BR-106 553__Licia</t>
  </si>
  <si>
    <t>98970022772</t>
  </si>
  <si>
    <t>BR-107 554__George Silva</t>
  </si>
  <si>
    <t>98981146123</t>
  </si>
  <si>
    <t>BR-108 555__Valeria De Fatima</t>
  </si>
  <si>
    <t>98981718200</t>
  </si>
  <si>
    <t>BR-109 556__Reginaldo</t>
  </si>
  <si>
    <t>98983036710</t>
  </si>
  <si>
    <t>BR-110 557__Weverton Rocha</t>
  </si>
  <si>
    <t>98991250312</t>
  </si>
  <si>
    <t>BR-111 558__Adalgiza Lauria</t>
  </si>
  <si>
    <t>BR-112 559__Laura Amaral</t>
  </si>
  <si>
    <t>DATA COMPRA</t>
  </si>
  <si>
    <t>PREVISÃO DE ENTREGA</t>
  </si>
  <si>
    <t>CLIENTE</t>
  </si>
  <si>
    <t>TELEFONE</t>
  </si>
  <si>
    <t>MODELO</t>
  </si>
  <si>
    <t>VALOR</t>
  </si>
  <si>
    <t>PAGO</t>
  </si>
  <si>
    <t>FALTA</t>
  </si>
  <si>
    <t>CRESCENCIO</t>
  </si>
  <si>
    <t>JUKEBOX VERMELHA</t>
  </si>
  <si>
    <t>LUCIANA</t>
  </si>
  <si>
    <t>MALETA 11.000 MIC AZUL</t>
  </si>
  <si>
    <t>JOTA</t>
  </si>
  <si>
    <t>JUKEBOX THE VOICE NOVA 25.000 JBL 220</t>
  </si>
  <si>
    <t>GIULIANA</t>
  </si>
  <si>
    <t>IPHONE HEINEKEN</t>
  </si>
  <si>
    <t>JHENY</t>
  </si>
  <si>
    <t>MALETAOKE VERMELHA 27000</t>
  </si>
  <si>
    <t>SERGIO MAKIYAMA</t>
  </si>
  <si>
    <t>SISTEMA KARAOKE</t>
  </si>
  <si>
    <t>JESSICA MACEDO (MARLI)</t>
  </si>
  <si>
    <t>JUKEBOX THE VOICE VERMELHA 27.000 PREMIUM</t>
  </si>
  <si>
    <t>Junior Cetra</t>
  </si>
  <si>
    <t>HELIO</t>
  </si>
  <si>
    <t>JUKEBOX THE VOICE PREMIUM 10000</t>
  </si>
  <si>
    <t>Barbara Magalhaes</t>
  </si>
  <si>
    <t>MELETAOKE</t>
  </si>
  <si>
    <t>JULIO CESAR</t>
  </si>
  <si>
    <t>MALETAOKE JACK JANIELS 25000</t>
  </si>
  <si>
    <t>EUZENI AGUSTINI</t>
  </si>
  <si>
    <t>CLAUDIO DE PAIVA</t>
  </si>
  <si>
    <t>JUKEBOX 11.0000</t>
  </si>
  <si>
    <t>MARGARETH LOPES</t>
  </si>
  <si>
    <t>MALETAOKE TECLADO ROSA 25.000</t>
  </si>
  <si>
    <t>MARCELO</t>
  </si>
  <si>
    <t>JUKEBOX THE VOICE VERMELHA 25.000 PREMIUM</t>
  </si>
  <si>
    <t>ANDERSON</t>
  </si>
  <si>
    <t>REJANE VIEIRA</t>
  </si>
  <si>
    <t>JUKEBOX GUITARRA VERMELHA 25.000</t>
  </si>
  <si>
    <t>MONIQUE</t>
  </si>
  <si>
    <t>JUKEBOX ZML 5 MAQUINAS</t>
  </si>
  <si>
    <t>VANESSA CARVALHO</t>
  </si>
  <si>
    <t>MALETA 25.000 MIC TECLADO ROSA</t>
  </si>
  <si>
    <t>FERNANDO SANTOS</t>
  </si>
  <si>
    <t>MALETAOKE THE VOICE</t>
  </si>
  <si>
    <t>DIEGO</t>
  </si>
  <si>
    <t>JUKEBOX PERSONALIZADA JBL 25000</t>
  </si>
  <si>
    <t>DANIELE</t>
  </si>
  <si>
    <t>MALETA MICROFONE AZUL 10000</t>
  </si>
  <si>
    <t>FABIOLA</t>
  </si>
  <si>
    <t>MALETA 11.000</t>
  </si>
  <si>
    <t>SHEILA</t>
  </si>
  <si>
    <t>MALETAOKE</t>
  </si>
  <si>
    <t>EDUARDO</t>
  </si>
  <si>
    <t>MALETAOKE JACK JANIELS 11000</t>
  </si>
  <si>
    <t>PASCHOAL</t>
  </si>
  <si>
    <t>MALETAOKE AZUL 25000</t>
  </si>
  <si>
    <t>L PEREZ</t>
  </si>
  <si>
    <t>JUKEBOX THE VOICE COLORIDA 25.000 PREMIUM</t>
  </si>
  <si>
    <t>JUKEBOX THE VOICE ROXA 25.000 PREMIUM</t>
  </si>
  <si>
    <t>MARCELO GOMES</t>
  </si>
  <si>
    <t>THE VOICE AZUL</t>
  </si>
  <si>
    <t>BRUNO SANTA ROSA</t>
  </si>
  <si>
    <t>MALETA COLORIDA VERDE</t>
  </si>
  <si>
    <t>ALEXANDRE LUCENA</t>
  </si>
  <si>
    <t>MALETA MICROFONE AZUL</t>
  </si>
  <si>
    <t>PAULO CEZAR</t>
  </si>
  <si>
    <t>HEINEKEN JBL</t>
  </si>
  <si>
    <t>TATIANE</t>
  </si>
  <si>
    <t>MALETA COCA COLA</t>
  </si>
  <si>
    <t>CARLA</t>
  </si>
  <si>
    <t>JUKEBOX THE VOICE AZUL JBL 25000 TECLADO E FICHEIRO</t>
  </si>
  <si>
    <t>JULIANO SOARES</t>
  </si>
  <si>
    <t>MALETAOKE THE VOICE VERMELHA</t>
  </si>
  <si>
    <t>JOSIMAR</t>
  </si>
  <si>
    <t>JUKEBOX THE VERDE PERS 27.000 PREMIUM</t>
  </si>
  <si>
    <t>MARCELO E NATALIA</t>
  </si>
  <si>
    <t>COLORIDA</t>
  </si>
  <si>
    <t>MARCELO MAHAZ</t>
  </si>
  <si>
    <t>MALETAOKE COLORIDA VERDE</t>
  </si>
  <si>
    <t>Marcelo Cenedesi</t>
  </si>
  <si>
    <t>MALETAOKE JACK DANIEL´S 25.000</t>
  </si>
  <si>
    <t>ALINE LIMA</t>
  </si>
  <si>
    <t>MALETAOKE JACK DANIEL´S</t>
  </si>
  <si>
    <t>DANIELA PELIZONI</t>
  </si>
  <si>
    <t>MALETA COLORIDA VERDE 25.000</t>
  </si>
  <si>
    <t>MARIANE</t>
  </si>
  <si>
    <t>JUKEBOX THE VOICE AMSTEL JBL 25000</t>
  </si>
  <si>
    <t>JUKEBOX THE VOICE AZUL JBL 25000 COM TECLADO</t>
  </si>
  <si>
    <t>ALEXIA</t>
  </si>
  <si>
    <t>JUKEBOX THE VOICE ROXA 25.000  JBL</t>
  </si>
  <si>
    <t>RAFAEL SITIO</t>
  </si>
  <si>
    <t>THE VOICE VERMELHA</t>
  </si>
  <si>
    <t>SERGIO</t>
  </si>
  <si>
    <t>JEAN RODRIGUES</t>
  </si>
  <si>
    <t>MARCIA</t>
  </si>
  <si>
    <t>MALETA HEINEKEN (25.000)</t>
  </si>
  <si>
    <t>MANOEL</t>
  </si>
  <si>
    <t>PATRÍCIA MARSSULO</t>
  </si>
  <si>
    <t>MALETAOKE THE VOICE VERDE</t>
  </si>
  <si>
    <t>VANESSA GONÇALVES</t>
  </si>
  <si>
    <t>MALETA MICROFONE AZUL 25.000</t>
  </si>
  <si>
    <t>LARISSA (Adilson)</t>
  </si>
  <si>
    <t>JUKEBOX THE AZUL PERS 27.000 PREMIUM</t>
  </si>
  <si>
    <t>CLOTILDE</t>
  </si>
  <si>
    <t>MALETA MUSIC</t>
  </si>
  <si>
    <t>LEOPOLDO JUNIOR\ CLOTILDE</t>
  </si>
  <si>
    <t>MALETA MIC AZUL C/ TECLADO 10000</t>
  </si>
  <si>
    <t>DARCI ALMEIDA</t>
  </si>
  <si>
    <t>JUKEBOX VERMELHA 11.000 PREMIUM</t>
  </si>
  <si>
    <t>VALERIA CALDERALRO</t>
  </si>
  <si>
    <t>HEINEKEN</t>
  </si>
  <si>
    <t>ITALO ALVES</t>
  </si>
  <si>
    <t>CRISTIANO TELLES</t>
  </si>
  <si>
    <t>LUCIENE/ EDUARDO</t>
  </si>
  <si>
    <t>THE VOICE AZUL MICROFONE</t>
  </si>
  <si>
    <t>MALETAOKE AZUL MICROFONE</t>
  </si>
  <si>
    <t>BRUNO</t>
  </si>
  <si>
    <t>PAULA</t>
  </si>
  <si>
    <t>MALETA AZUL</t>
  </si>
  <si>
    <t>PAULA AUGUSTO</t>
  </si>
  <si>
    <t>MALETAOKE AZUL NOTAS MUSICAIS</t>
  </si>
  <si>
    <t>ANA PAULA CAETANO</t>
  </si>
  <si>
    <t>MALETAOKE ROSA TECLADO</t>
  </si>
  <si>
    <t>ANGELICA LUNAKA</t>
  </si>
  <si>
    <t>MALETA PRETA</t>
  </si>
  <si>
    <t>JAILTON</t>
  </si>
  <si>
    <t>JUKEBOX THE VOICE VERMELHA JBL 11000 FÓRMICA</t>
  </si>
  <si>
    <t>RODRIGO</t>
  </si>
  <si>
    <t>STANLEY</t>
  </si>
  <si>
    <t>MALETAOKE JACK MIC 27000</t>
  </si>
  <si>
    <t>MARIANA</t>
  </si>
  <si>
    <t>SISTEMA HD</t>
  </si>
  <si>
    <t>MARIANA SILVA</t>
  </si>
  <si>
    <t>MONALISA</t>
  </si>
  <si>
    <t>JUKEBOX COLORIDA 27.000 PERSONAIZADA ROXA</t>
  </si>
  <si>
    <t>RICARDO PEREIRA</t>
  </si>
  <si>
    <t>JUKEBOX MICHAEL JACKSON 25000</t>
  </si>
  <si>
    <t>JUKEBOX DEFINIR ARTE 25.000 JBL</t>
  </si>
  <si>
    <t>RAPHAELA SERRENO</t>
  </si>
  <si>
    <t>JUKEBOX PRETA PERSONALIZADA</t>
  </si>
  <si>
    <t>GUSTAVO</t>
  </si>
  <si>
    <t>MALETAOKE PERSONALIZADA 25000</t>
  </si>
  <si>
    <t>RAFAELA</t>
  </si>
  <si>
    <t>MALETAOKE VERMELHA 25000</t>
  </si>
  <si>
    <t>RICARDO</t>
  </si>
  <si>
    <t>MALETA MICROFONE AZUL 25000</t>
  </si>
  <si>
    <t>GUILHERME</t>
  </si>
  <si>
    <t>JUKEBOX THE VOICE VERMELHO  27.000 PREMIUM</t>
  </si>
  <si>
    <t>ANGELO</t>
  </si>
  <si>
    <t>MANUTENÇÃO</t>
  </si>
  <si>
    <t>FLIPERAMA PORTÁTIL</t>
  </si>
  <si>
    <t>NE</t>
  </si>
  <si>
    <t>LILIA DO CARMO</t>
  </si>
  <si>
    <t>JOSE ALEXANDRO</t>
  </si>
  <si>
    <t>MALETAOKE THE VOICE AZUL</t>
  </si>
  <si>
    <t>SÉRGIO AUGUSTO</t>
  </si>
  <si>
    <t>JOSE ALONSO</t>
  </si>
  <si>
    <t>JUKEBOX THE VOICE AZUL COM MOEDEIRO</t>
  </si>
  <si>
    <t>JOAO</t>
  </si>
  <si>
    <t>THE COLORIDA VERDE</t>
  </si>
  <si>
    <t>MARCIO</t>
  </si>
  <si>
    <t>JUKEBOX  11.000 JBL COM FICHEIRO E 100 FICHAS</t>
  </si>
  <si>
    <t>JUKEBOX THE VOICE PRETO E DOURADO 25.000 JBL</t>
  </si>
  <si>
    <t>HOELTER</t>
  </si>
  <si>
    <t>MALETA 25.000 MIC MICROFONE AZUL</t>
  </si>
  <si>
    <t>ALINE VEREADORA</t>
  </si>
  <si>
    <t>JUKEBOX IPHONE PRETO 25.000 JBL</t>
  </si>
  <si>
    <t>THIAGO</t>
  </si>
  <si>
    <t>JUKEBOX THE VOICE VERMELHA 25000 PREMIUM</t>
  </si>
  <si>
    <t>JUKEBOX THE VOICE AZUL 25000 PREMIUM</t>
  </si>
  <si>
    <t>JUKEBOX THE VOICE VERDE PREMIUM 25000</t>
  </si>
  <si>
    <t>ELIENE/BRENDA</t>
  </si>
  <si>
    <t>MALETAOKE AZUL 11000</t>
  </si>
  <si>
    <t>JOANA DAR´C</t>
  </si>
  <si>
    <t>MALETA SKATE BRANCA</t>
  </si>
  <si>
    <t>MICHELLE</t>
  </si>
  <si>
    <t>MALETAOKE JACK DANIELS 25000 SEM MIC</t>
  </si>
  <si>
    <t>WALDO DAMIÃO</t>
  </si>
  <si>
    <t>ROGER NASCIMENTO</t>
  </si>
  <si>
    <t>THE VOICE PERSONALIZADA 25000</t>
  </si>
  <si>
    <t>FLIPERAMA MARIO</t>
  </si>
  <si>
    <t>JUKEBOX IPHONE 25.000 JBL COM MIC SEM FIO</t>
  </si>
  <si>
    <t>MALETAOKE PERS FUN FESTS 27000</t>
  </si>
  <si>
    <t>LETICIA FERREIRA</t>
  </si>
  <si>
    <t>MUSIC CORAÇÃO</t>
  </si>
  <si>
    <t>LETÍCIA FERREIRA</t>
  </si>
  <si>
    <t>MALETAOKE COLORIDA CORAÇÃO</t>
  </si>
  <si>
    <t>Cristiane barreto</t>
  </si>
  <si>
    <t>B2W</t>
  </si>
  <si>
    <t>LUIZ CARLOS</t>
  </si>
  <si>
    <t>THE VOICE TECLADO ROSA</t>
  </si>
  <si>
    <t>ANGELA VALENTINO</t>
  </si>
  <si>
    <t>PAULO</t>
  </si>
  <si>
    <t>ISABELA DIAS</t>
  </si>
  <si>
    <t>THE VOICE PREMIUM</t>
  </si>
  <si>
    <t>ALINE LUDMILA</t>
  </si>
  <si>
    <t>JUKEBOX 25.000</t>
  </si>
  <si>
    <t>MARCUS</t>
  </si>
  <si>
    <t>JUKEBOX THE VOICE VERMELHO 25.000 JBL</t>
  </si>
  <si>
    <t>JORGE BONITO</t>
  </si>
  <si>
    <t>JUKEBOX THE VOICE VERDE PREMIUM 11000</t>
  </si>
  <si>
    <t>JUKEBOX AZUL JBL 10000</t>
  </si>
  <si>
    <t>JUKEBOX THE VOICE JBL 10000</t>
  </si>
  <si>
    <t>Rodrigo Rodrigues</t>
  </si>
  <si>
    <t>JUKEBOX THE VOICE AZUL JBL 11000</t>
  </si>
  <si>
    <t>RODRIGO BONITO</t>
  </si>
  <si>
    <t>JUKEBOX THE VOICE AZUL 11.000 PREMIUM</t>
  </si>
  <si>
    <t>JUKEBOX THE VOICE VERDE 25.000 PREMIUM SEM MIC E SEM CAT</t>
  </si>
  <si>
    <t>DANIEL/ GUILHERME</t>
  </si>
  <si>
    <t>FLAVIO CAMPOS</t>
  </si>
  <si>
    <t>FLAVIO</t>
  </si>
  <si>
    <t>JUKEBOX THE VOICE AZUL 25.000 PREMIUM</t>
  </si>
  <si>
    <t>FLIPERAMA MORTAL KOMBAT BI PARTIDO</t>
  </si>
  <si>
    <t>WESLEY</t>
  </si>
  <si>
    <t>ANDREA</t>
  </si>
  <si>
    <t>MALETA THE SINGER 25000</t>
  </si>
  <si>
    <t>MARCELI</t>
  </si>
  <si>
    <t>JUKEBOX THE VOICE ROXA 25000 PREMIUM</t>
  </si>
  <si>
    <t>FLIPERAMA 19 POLEGADAS MORTAL KOMBAT</t>
  </si>
  <si>
    <t>JONAS</t>
  </si>
  <si>
    <t>ANDRÉ LUIZ</t>
  </si>
  <si>
    <t>MALETA THE VOICE AZUL</t>
  </si>
  <si>
    <t>CASSIA</t>
  </si>
  <si>
    <t>JUKEBOX THE VOICE VERMELHA 25.000  PREMIUM</t>
  </si>
  <si>
    <t>RENATO ARAÚJO</t>
  </si>
  <si>
    <t>CLAUDIA</t>
  </si>
  <si>
    <t>MALETA 25.000 MIC MICROFONE VERMELHO</t>
  </si>
  <si>
    <t>JONATHAN</t>
  </si>
  <si>
    <t>BARTOP 22 POLEGADAS AZUL KOF</t>
  </si>
  <si>
    <t>THE VOICE LED</t>
  </si>
  <si>
    <t>THE VOICE</t>
  </si>
  <si>
    <t>BLUE LABEL</t>
  </si>
  <si>
    <t>THE VOICE CADEIRAS</t>
  </si>
  <si>
    <t>JUKEBOX VERMELHA JBL</t>
  </si>
  <si>
    <t>FLIPERAMA PORTÁTIL MARIO</t>
  </si>
  <si>
    <t>JUKEBOX THE VOICE VERMELHA JBL 25000</t>
  </si>
  <si>
    <t>JHONATHAN</t>
  </si>
  <si>
    <t>JORGE</t>
  </si>
  <si>
    <t>LAURA AMARAL</t>
  </si>
  <si>
    <t>JUKEBOX PRETA NEON 27.000 JBL</t>
  </si>
  <si>
    <t>THE VOICE GUITARRA FICHEIRO 25000</t>
  </si>
  <si>
    <t>DILERMANDO</t>
  </si>
  <si>
    <t>JUKEBOXTHE VOICE +  FLIPERAMA</t>
  </si>
  <si>
    <t>Renan</t>
  </si>
  <si>
    <t>RAFAEL NANA FIESTAS</t>
  </si>
  <si>
    <t>JUKEBOX THE VOICE VERDE 25.000 PREMIUM</t>
  </si>
  <si>
    <t>JOSIANE AMORIM</t>
  </si>
  <si>
    <t>MALETA JACK DANIEL´S</t>
  </si>
  <si>
    <t>HOTEL POUSADA BOULEVARD</t>
  </si>
  <si>
    <t>MALETAOKE MICROFONE VERMELHO 25.000</t>
  </si>
  <si>
    <t>ALINE AIRES DE ALMEIDA</t>
  </si>
  <si>
    <t>Priscilla Hecke/ TONY</t>
  </si>
  <si>
    <t>MALETAOKE 25.000 SEM MICROFONE</t>
  </si>
  <si>
    <t>MALETA B2W</t>
  </si>
  <si>
    <t>WANDERSON MARINHA</t>
  </si>
  <si>
    <t>JUKEBOX PERSONALIZADA 25.000</t>
  </si>
  <si>
    <t>FERNANDO</t>
  </si>
  <si>
    <t>MALETA COLORIDA</t>
  </si>
  <si>
    <t>MARINO TADEU</t>
  </si>
  <si>
    <t>LEANDRO MONTEIRO - MARINGA PR</t>
  </si>
  <si>
    <t>PRETA ESTRELA</t>
  </si>
  <si>
    <t>ANA PAULA / MARCIO</t>
  </si>
  <si>
    <t>JUKEBOX THE VOICE VERMELHA 25.000 PREMIUM SEM MIC</t>
  </si>
  <si>
    <t>LUZIA SOUZA</t>
  </si>
  <si>
    <t>MALETAOKE TECLADO ROSA</t>
  </si>
  <si>
    <t>MALETAOKE MICROFONE AZUL</t>
  </si>
  <si>
    <t>ROSE</t>
  </si>
  <si>
    <t>CAROL</t>
  </si>
  <si>
    <t>LEANDRO</t>
  </si>
  <si>
    <t>JUKEBOX THE VOICE VERDE 25000 PREMIUM</t>
  </si>
  <si>
    <t>KISSILA</t>
  </si>
  <si>
    <t>JUKEBOX THE VOICE AZUL NAVAL 25000 PREMIUM</t>
  </si>
  <si>
    <t>FERNANDO DA CRUZ</t>
  </si>
  <si>
    <t>JUKEBOX THE VOICE VERMELHA 25.000 PREMIUM 220V</t>
  </si>
  <si>
    <t>CARLOS HENRIQUE</t>
  </si>
  <si>
    <t>THE VOICE VERMERLHA MICROFONE</t>
  </si>
  <si>
    <t>THE SINGER</t>
  </si>
  <si>
    <t>MALETAOKÊ  MICROFONE VERMELHA</t>
  </si>
  <si>
    <t>ALINE SAVI</t>
  </si>
  <si>
    <t>MALETA JACK DANIELS 25000</t>
  </si>
  <si>
    <t>JUKEBOX COLORIDA 27.000 PERSONAIZADA VERMELHA</t>
  </si>
  <si>
    <t>GEYSE</t>
  </si>
  <si>
    <t>MALETA 11.000 MIC TECLADO ROSA</t>
  </si>
  <si>
    <t>ELIETE</t>
  </si>
  <si>
    <t>JUKEBOX THE VOICE VERMELHA 25000 JBL COM MOEDEIRO</t>
  </si>
  <si>
    <t>NAJLA</t>
  </si>
  <si>
    <t>JUKEBOX THE VOICE VERMELHA 25.000 PREMIUM COM FICHEIRO</t>
  </si>
  <si>
    <t>GRAZIELA</t>
  </si>
  <si>
    <t>MALETAOKE AZUL MIC 27000</t>
  </si>
  <si>
    <t>PAULO RENATO</t>
  </si>
  <si>
    <t>MALETA JACK DANIELS MOEDEIRO</t>
  </si>
  <si>
    <t>MATHEUS TILICO</t>
  </si>
  <si>
    <t>JUKEBOX THE VOICE AZUL 11.000</t>
  </si>
  <si>
    <t>MILTON BIZARRO</t>
  </si>
  <si>
    <t>THE VOICE VERMELHA MICROFONE</t>
  </si>
  <si>
    <t>MARCUS VINICIUS</t>
  </si>
  <si>
    <t>MALETAOKE COLORIDA 11000</t>
  </si>
  <si>
    <t>GABRIEL</t>
  </si>
  <si>
    <t>JUKEBOX THE VOICE COM MOEDEIRO</t>
  </si>
  <si>
    <t>ROSÂNGELA MENA</t>
  </si>
  <si>
    <t>VALÉRIA</t>
  </si>
  <si>
    <t>MALETAOKE THE VOICE GRANDE</t>
  </si>
  <si>
    <t>TABATA</t>
  </si>
  <si>
    <t>MALETAOKE VERMELHA 27000 SEM MIC</t>
  </si>
  <si>
    <t>LUCAS</t>
  </si>
  <si>
    <t>JUKEBOX THE VOICE VERMELHO 25.000 PREMIUM</t>
  </si>
  <si>
    <t>JUKEBOX IPHONE 25.000 PRMIUM</t>
  </si>
  <si>
    <t>JUKEBOX THE VOICE VERMELHA 25.000 COM 100 FICHAS</t>
  </si>
  <si>
    <t>JUKEBOX IPHONE VERMELHO 220 25.000 PREMIUM</t>
  </si>
  <si>
    <t>DANIEL</t>
  </si>
  <si>
    <t>AMANDA</t>
  </si>
  <si>
    <t>JULIANA PUG</t>
  </si>
  <si>
    <t>AILTON MONTEIRO (RENATA)</t>
  </si>
  <si>
    <t>JUKEBOX THE VOICE VERMELHA 11000 COM MOEDEIRO</t>
  </si>
  <si>
    <t>RAPHAEL SÁ</t>
  </si>
  <si>
    <t>VERONICA</t>
  </si>
  <si>
    <t>MALETAOKE VERMLEHA 25000</t>
  </si>
  <si>
    <t>MALETAOKE VERMELHA MIC 27000</t>
  </si>
  <si>
    <t>PATRÍCIA QUEIROZ</t>
  </si>
  <si>
    <t>PATRICIA</t>
  </si>
  <si>
    <t>JUKEBOX VERMELHA 27.000 JBL</t>
  </si>
  <si>
    <t>JOAO PAULO</t>
  </si>
  <si>
    <t>TROCA DE SISTEMA 25.000</t>
  </si>
  <si>
    <t>RENARD</t>
  </si>
  <si>
    <t>COLORIDA 25000</t>
  </si>
  <si>
    <t>JUKEBOX THE VERMELHO WALTINHO  PERS 27.000 PREMIUM</t>
  </si>
  <si>
    <t>JAMES</t>
  </si>
  <si>
    <t>MALETA HEINEKEN</t>
  </si>
  <si>
    <t>CLAUDIO</t>
  </si>
  <si>
    <t>JUKEBOX THE VOICE AZUL 25.000 JBL</t>
  </si>
  <si>
    <t>JUKEBOX THE VOICE COLORIDA 25.000 JBL</t>
  </si>
  <si>
    <t>JUNIOR</t>
  </si>
  <si>
    <t>JUKEBOX THE VOICE 19 POLEGADAS</t>
  </si>
  <si>
    <t>MIRNA / JOSE MARTINS</t>
  </si>
  <si>
    <t>HEINEKEN SEM TECLADO</t>
  </si>
  <si>
    <t>WILLER TOMAZ</t>
  </si>
  <si>
    <t>MALETAOKE THE VOIE AMARELA</t>
  </si>
  <si>
    <t>LILIAN</t>
  </si>
  <si>
    <t>MALETA VERDE COLORIDA</t>
  </si>
  <si>
    <t>CARLOS EDUARDO</t>
  </si>
  <si>
    <t>JUKEBOX THE VOICE BLUETOOTH</t>
  </si>
  <si>
    <t>RAFAEL</t>
  </si>
  <si>
    <t>ERICA</t>
  </si>
  <si>
    <t>LEANDRO SOARES</t>
  </si>
  <si>
    <t>MALETA GAMES OF THRONES</t>
  </si>
  <si>
    <t>BHRAMA</t>
  </si>
  <si>
    <t>MALETAOKÊ THE VOICE VERDE</t>
  </si>
  <si>
    <t>Wires</t>
  </si>
  <si>
    <t>GILSON</t>
  </si>
  <si>
    <t>JACK DANIELS</t>
  </si>
  <si>
    <t>LUA</t>
  </si>
  <si>
    <t>DEIVIS</t>
  </si>
  <si>
    <t>JUKEBOX HEINEKEN</t>
  </si>
  <si>
    <t>LOESTER</t>
  </si>
  <si>
    <t>GRAZI</t>
  </si>
  <si>
    <t>CASSIO/ ADUBOS FERTIPOL</t>
  </si>
  <si>
    <t>MALETA MICROFONE VERMELHO 25.000</t>
  </si>
  <si>
    <t>LEILA DOS SANTOS</t>
  </si>
  <si>
    <t>MALETAOKE THE VOICE PRETA COLORIDA</t>
  </si>
  <si>
    <t>MALETA COLORIDA 11.000</t>
  </si>
  <si>
    <t>MALETAOKE JACK VERMELHA 25000</t>
  </si>
  <si>
    <t>EVELLYN FERREIRA / NATHAN</t>
  </si>
  <si>
    <t>MALETAOKE 25.000</t>
  </si>
  <si>
    <t>LIVIA</t>
  </si>
  <si>
    <t>JUKEBOX VERDE MARCELO 27.000 PREMIUM</t>
  </si>
  <si>
    <t>MARLEI</t>
  </si>
  <si>
    <t>VITOR</t>
  </si>
  <si>
    <t>MALETAOKE AZUL MUSICA 25000</t>
  </si>
  <si>
    <t>DARCY</t>
  </si>
  <si>
    <t>JUKEBOX THE VOICE AZUL</t>
  </si>
  <si>
    <t>THIAGO PIZZINI (barão marmitaria)</t>
  </si>
  <si>
    <t>MALETAOKE THE SING 25000</t>
  </si>
  <si>
    <t>CRISTIANE IRMAOS GONÇALVELS</t>
  </si>
  <si>
    <t>MICROFONE AZUL</t>
  </si>
  <si>
    <t>SHEYLA</t>
  </si>
  <si>
    <t>ADILSON CASTRO</t>
  </si>
  <si>
    <t>COLORIDA CORAÇÃO</t>
  </si>
  <si>
    <t>MICHELLE SHUNK</t>
  </si>
  <si>
    <t>JUKEBOX THE VOICE VERMELHA 25.000 JBL</t>
  </si>
  <si>
    <t>THE VOICE COLORIDA</t>
  </si>
  <si>
    <t>JUKEBOX THE VOICE VERMELHA C/ FICHEIRO</t>
  </si>
  <si>
    <t>ANDRE LUIZ</t>
  </si>
  <si>
    <t>JUKEBOX THE VOICE PRETO E DOURADO 25000 PREMIUM</t>
  </si>
  <si>
    <t>CARLITO DE OLIVEIRA</t>
  </si>
  <si>
    <t>PAULO CESAR</t>
  </si>
  <si>
    <t>JUKEBOX THE VOICE VERMELHA JBL</t>
  </si>
  <si>
    <t>JUKEBOX THE VOICE VERDE JBL</t>
  </si>
  <si>
    <t>CIRLENE E LUCIENE</t>
  </si>
  <si>
    <t>THE VOICE JACK DANIELS</t>
  </si>
  <si>
    <t>MACILENE CRISTINA</t>
  </si>
  <si>
    <t>Elaine de Carvalho</t>
  </si>
  <si>
    <t>JUKEBOX COLORIDA LILÁS 25000</t>
  </si>
  <si>
    <t>VANIA BASMAGE</t>
  </si>
  <si>
    <t>JUKEBOX PERSONALIZADA PRETA DUFF</t>
  </si>
  <si>
    <t>THE VOICE VERMELHA JBL</t>
  </si>
  <si>
    <t>ALESSANDRO</t>
  </si>
  <si>
    <t>MALETAOKE JBL 27000</t>
  </si>
  <si>
    <t>EDUARDO MENEZES</t>
  </si>
  <si>
    <t>MALETAOKE THE MUSIC 25000</t>
  </si>
  <si>
    <t>MARCOS DANILO</t>
  </si>
  <si>
    <t>MALETAOKE THE VOICE MICROFONE</t>
  </si>
  <si>
    <t>DR MARCOS PAULO</t>
  </si>
  <si>
    <t>THE VOICE MICROFONE</t>
  </si>
  <si>
    <t>SIMAS</t>
  </si>
  <si>
    <t>MALETA MICROFONE AZUL 25001</t>
  </si>
  <si>
    <t>DAVIDSON</t>
  </si>
  <si>
    <t>THE VOICE MUSIC</t>
  </si>
  <si>
    <t>DAVIDSON RAMOS</t>
  </si>
  <si>
    <t>MALETAOKE MUSIC BOX</t>
  </si>
  <si>
    <t>TECLADO ROSA</t>
  </si>
  <si>
    <t>ALMIR CIGANO</t>
  </si>
  <si>
    <t>JUKEBOX THE VOICE VERMELHA 25000 COM MOEDEIRO</t>
  </si>
  <si>
    <t>RUY RORAIMA</t>
  </si>
  <si>
    <t>RUY FRANCO</t>
  </si>
  <si>
    <t>VINICIUS</t>
  </si>
  <si>
    <t>JUKEBOX THE VOICE VERMELHA PREMIUM 25000</t>
  </si>
  <si>
    <t>BIANCA</t>
  </si>
  <si>
    <t>LICIA</t>
  </si>
  <si>
    <t>JUKEBOX THE VOICE AZUL  (MARCELO) 27.000 JBL</t>
  </si>
  <si>
    <t>GEORGE SILVA</t>
  </si>
  <si>
    <t>EDSON</t>
  </si>
  <si>
    <t>VALERIA DE FATIMA</t>
  </si>
  <si>
    <t>VALERIA DE FATIMA - MARANHAO</t>
  </si>
  <si>
    <t>VALÉRIA DE FATIMA</t>
  </si>
  <si>
    <t>JUKEBOX PERSONALIZADA  25000</t>
  </si>
  <si>
    <t>VALERIA</t>
  </si>
  <si>
    <t>JUKEBOX THE VOICE VERMELHO PREMIUM 25000</t>
  </si>
  <si>
    <t>CARLOS\THALITA</t>
  </si>
  <si>
    <t>REGINALDO</t>
  </si>
  <si>
    <t>JUKEBOX IPHONE PRETO 25.000 JBL SEM MIC</t>
  </si>
  <si>
    <t>WEVERTON ROCHA</t>
  </si>
  <si>
    <t>MALETAOKE THE VOICE VERM. E PRETA</t>
  </si>
  <si>
    <t>ALVARO JORGE</t>
  </si>
  <si>
    <t>JUKEBOX THE VOICE ROXO 25.000 JBL</t>
  </si>
  <si>
    <t>CARLOS JOSÉ</t>
  </si>
  <si>
    <t>ADALGIZA LAURIA</t>
  </si>
  <si>
    <t>MALETAOKE THE VOICE ROCK</t>
  </si>
  <si>
    <t>ADALGISA</t>
  </si>
  <si>
    <t>MUSIC</t>
  </si>
  <si>
    <t>EDINA</t>
  </si>
  <si>
    <t>JUKEBOX THE VERMELHO E DOURADO 27.000 JBL</t>
  </si>
  <si>
    <t>JUKEBOX THE VOICE VERMELHA  25.000 JBL</t>
  </si>
  <si>
    <t>VICTOR</t>
  </si>
  <si>
    <t>IPHONE NORDESTE 25.000  JBL COM CONTROLE E DIVISOR HDMI</t>
  </si>
  <si>
    <t>SIDNEY</t>
  </si>
  <si>
    <t>HEINEKEN MODELO IPHONE 25000</t>
  </si>
  <si>
    <t>ULYSSES</t>
  </si>
  <si>
    <t>MALETA THE VOICE VERDE</t>
  </si>
  <si>
    <t>SIMONE</t>
  </si>
  <si>
    <t>ALINE</t>
  </si>
  <si>
    <t>RENATO</t>
  </si>
  <si>
    <t>RONALDO</t>
  </si>
  <si>
    <t>MALETAOKE MUSIC 25000</t>
  </si>
  <si>
    <t>ALFREDO</t>
  </si>
  <si>
    <t>JUKEBOX THE VOICE AZUL 25.000 JBL FICHEIRO E TECLADO</t>
  </si>
  <si>
    <t>JUAN</t>
  </si>
  <si>
    <t>MALETAOKE COLORIDA MIC 27000</t>
  </si>
  <si>
    <t>MARIA DO FORRO</t>
  </si>
  <si>
    <t>JUKEBOX THE VOICE PRETO E DOURADO 25.000 JBL COM MOEDEIRO</t>
  </si>
  <si>
    <t>PORTATIL CORINGA + GABINETE</t>
  </si>
  <si>
    <t>ANTONIO</t>
  </si>
  <si>
    <t>FRANCISCO ROMANO</t>
  </si>
  <si>
    <t>FABRIZZIO</t>
  </si>
  <si>
    <t>JUKEBOX THE VOICE HEINEKEN 27.000</t>
  </si>
  <si>
    <t>FABIO MK</t>
  </si>
  <si>
    <t>JUKEBOX THE VOICE VERMELHA 11000 PREMIUM</t>
  </si>
  <si>
    <t>FLIPERAMA MARIO PANDORA</t>
  </si>
  <si>
    <t>VASCO</t>
  </si>
  <si>
    <t>FLAMENGO</t>
  </si>
  <si>
    <t>THE VOICE VERMELHO + MIC SEM FIO</t>
  </si>
  <si>
    <t>JOSIAS</t>
  </si>
  <si>
    <t>JUKEBOX COLORIDA VERDE 19 POLEGADAS 25.000 DUPLO JBL</t>
  </si>
  <si>
    <t>IPHONE COLORIDO SEM SOM</t>
  </si>
  <si>
    <t>LUCAS DANTAS</t>
  </si>
  <si>
    <t>THE VOICE VERMELHA 11000</t>
  </si>
  <si>
    <t>LUIZ AMARAL</t>
  </si>
  <si>
    <t>JUKEBOX THE VOICE VERDE 25.000</t>
  </si>
  <si>
    <t>ANGELA</t>
  </si>
  <si>
    <t>JUKEBOX THE VOICE VERMELHA PREMIUM 11000</t>
  </si>
  <si>
    <t>ANGEL BRINKS</t>
  </si>
  <si>
    <t>JUKEBOX THE VOICE VERMELHA CADEIRAS 11.000</t>
  </si>
  <si>
    <t>RODRIGO COSTA</t>
  </si>
  <si>
    <t>JUKEBOX VERMELHA 25.000</t>
  </si>
  <si>
    <t>Rafael Henrique</t>
  </si>
  <si>
    <t>JUKEBOX COLORIDA VERDE 22 POLEGADAS 25000</t>
  </si>
  <si>
    <t>ALEXANDRA</t>
  </si>
  <si>
    <t>JUKEBOX THE VOICE VERMELHO 11.000 PREMIUM</t>
  </si>
  <si>
    <t>NEUSA MOTTA(MARCELO)</t>
  </si>
  <si>
    <t>MALETA MASTER SINGER</t>
  </si>
  <si>
    <t>SANDREYA GOMES</t>
  </si>
  <si>
    <t>FERNANDA DIAS</t>
  </si>
  <si>
    <t>JUKEBOX THE VOICE 17 POLEGADAS</t>
  </si>
  <si>
    <t>LEO LIMA PADRE MIGUEL</t>
  </si>
  <si>
    <t>JUKEBOX 17 POLEGADAS THE VOICE VERMELLHA</t>
  </si>
  <si>
    <t>LUCAS XAVIER / PATRICIA</t>
  </si>
  <si>
    <t>MALETA 25.000</t>
  </si>
  <si>
    <t>CRISTINA</t>
  </si>
  <si>
    <t>THE VOICE VERMELHA ANTIGA</t>
  </si>
  <si>
    <t>WAGNER</t>
  </si>
  <si>
    <t>JUKEBOX COLORIDA 27.000 JBL</t>
  </si>
  <si>
    <t>THE VOICE VERMELHA MICROFONE FORMICA VERMELHA 25.000</t>
  </si>
  <si>
    <t>MELISSA RODRIGUES</t>
  </si>
  <si>
    <t>MALETAOKE AMARELA COM VERDE</t>
  </si>
  <si>
    <t>JUKEBOX VERMELHA 27.000 PREMIUM</t>
  </si>
  <si>
    <t>LIMA RAMOS</t>
  </si>
  <si>
    <t>maria daniella / PEDRO</t>
  </si>
  <si>
    <t>VANESSA</t>
  </si>
  <si>
    <t>ATUALIZAÇÃO E CATÁLOGO</t>
  </si>
  <si>
    <t>FLAVIO LOPES</t>
  </si>
  <si>
    <t>THE VOICE VERMELHA MICROFONE SEM FIO</t>
  </si>
  <si>
    <t>DAVID/DEBORA</t>
  </si>
  <si>
    <t>MALETA CADEIRAS VERMELHAS 10000</t>
  </si>
  <si>
    <t>JULIA FERREIRA</t>
  </si>
  <si>
    <t>JOAO SÃO CRISTOVAO</t>
  </si>
  <si>
    <t>DERLYANE</t>
  </si>
  <si>
    <t>VERMELHA</t>
  </si>
  <si>
    <t>RAPHAEL MALTA</t>
  </si>
  <si>
    <t>KAMILA CARPI</t>
  </si>
  <si>
    <t>ANDREIA</t>
  </si>
  <si>
    <t>LUAN</t>
  </si>
  <si>
    <t>JOSE FRANCISCO</t>
  </si>
  <si>
    <t>THE VOICE VERMELHA CADEIRAS 25.000</t>
  </si>
  <si>
    <t>RUTH MARIA</t>
  </si>
  <si>
    <t>JUKEBOX THE VOICE  COLORIDA 25.000  PREMIUM</t>
  </si>
  <si>
    <t>ALEXANDRE ALVIM</t>
  </si>
  <si>
    <t>JUKEBOX THE VOICE VERMELHA 25.000 PREMIUM MIC SEM FIO</t>
  </si>
  <si>
    <t>ANDRE FRANCO</t>
  </si>
  <si>
    <t>NADIA</t>
  </si>
  <si>
    <t>JEAEN GARCIA</t>
  </si>
  <si>
    <t>ANDRE BARBOSA</t>
  </si>
  <si>
    <t>JUKEBOX THE VOICE VERMELHA 25.000  JBL</t>
  </si>
  <si>
    <t>DIOGO MEDEIROS ANT BARBARA</t>
  </si>
  <si>
    <t>DIOGO MEDEIROS</t>
  </si>
  <si>
    <t>JUKEBOX THE VOICE VERMELHA 25000 JBL</t>
  </si>
  <si>
    <t>MALETAOKE CADEIRAS 25.000</t>
  </si>
  <si>
    <t>TRAVEL -CAMILE</t>
  </si>
  <si>
    <t>JUKEBOX THE VOICE PRETO E DOURADO 27.000 JBL COM MOEDEIRO</t>
  </si>
  <si>
    <t>NIVEA</t>
  </si>
  <si>
    <t>MALETA THE SING</t>
  </si>
  <si>
    <t>THE VOICE JUNIOR F</t>
  </si>
  <si>
    <t>ELISA</t>
  </si>
  <si>
    <t>LEANDRO THOMPSON</t>
  </si>
  <si>
    <t>JUKEBOX THE VOICE VERMELHA 25000 JBL MOEDEIRO</t>
  </si>
  <si>
    <t>BOCA</t>
  </si>
  <si>
    <t>JUKBEBOX THE VOICE VERDE 25.000 PREMIUM</t>
  </si>
  <si>
    <t>PAULO VITOR TOPERSON</t>
  </si>
  <si>
    <t>Thailine</t>
  </si>
  <si>
    <t>JUKEBOX THE VOICE VERMELHA 25.000</t>
  </si>
  <si>
    <t>JUKEBOX THE VOICE AZUL  25.000</t>
  </si>
  <si>
    <t>JUKEBOX THE VOICE VERDE  25.000</t>
  </si>
  <si>
    <t>THAILINE</t>
  </si>
  <si>
    <t>JUKEBOX THE VOICE ROXO 11.000</t>
  </si>
  <si>
    <t>MARCUS/JORGE GOMES</t>
  </si>
  <si>
    <t>THE VOICE JBL</t>
  </si>
  <si>
    <t>WILLIAN</t>
  </si>
  <si>
    <t>ANA LEA</t>
  </si>
  <si>
    <t>MALETA COLORIDA VERDE   25.000</t>
  </si>
  <si>
    <t>BEATRIZ</t>
  </si>
  <si>
    <t>JUKEBOX THE VOICE COLORIDA PERSONALIZADA 27.000 PREMIUM</t>
  </si>
  <si>
    <t>MALETA 25.000 MIC PRETA ESTRELADO</t>
  </si>
  <si>
    <t>FERNANDO BUENO</t>
  </si>
  <si>
    <t>TONY</t>
  </si>
  <si>
    <t>JUKEBOX CALCIDES</t>
  </si>
  <si>
    <t>JUKEBOX THE VOICE AZUL 25000 JBL</t>
  </si>
  <si>
    <t>GIBERTO</t>
  </si>
  <si>
    <t>MALETAOKE COLORIDA</t>
  </si>
  <si>
    <t>ANTONIO ABREU</t>
  </si>
  <si>
    <t>JUKEBOX PERSONALIZADA</t>
  </si>
  <si>
    <t>ROBERTA OLIVEIRA</t>
  </si>
  <si>
    <t>MALETAOKE AZUL COM NOTA MUSICAIS</t>
  </si>
  <si>
    <t>ROBERTA RODRIGUES</t>
  </si>
  <si>
    <t>MUSIC AZUL</t>
  </si>
  <si>
    <t>EDUARDO PRADO</t>
  </si>
  <si>
    <t>MALETEOKE THE VOICE</t>
  </si>
  <si>
    <t>LUCAS VIEIRA</t>
  </si>
  <si>
    <t>JUKEBOX THE VOICE PERSONALIZADA 25.000 PREMIUM</t>
  </si>
  <si>
    <t>MILENA</t>
  </si>
  <si>
    <t>JUKEBOX THE VERMELHO ALCIONE 27.000 JBL</t>
  </si>
  <si>
    <t>ANTONIO CARLOS</t>
  </si>
  <si>
    <t>MALETA PRETA 25000</t>
  </si>
  <si>
    <t>TATIANA DOS SANTOS</t>
  </si>
  <si>
    <t>MALETAOKE THE VOICE MUSIC</t>
  </si>
  <si>
    <t>EDINEI</t>
  </si>
  <si>
    <t>JUKEBOX THE VOICE VERMELHA JBL 11000</t>
  </si>
  <si>
    <t>JOSEMAR DA SILVA</t>
  </si>
  <si>
    <t>MALETAOKE THE SINGER</t>
  </si>
  <si>
    <t>LUCIO SANTOS</t>
  </si>
  <si>
    <t>JUKEBOX VERMELHA FLAMENGO JBL</t>
  </si>
  <si>
    <t>DEOCLECIO</t>
  </si>
  <si>
    <t>JUKEBOX THE VOICE AZUL PREMIUM 25000</t>
  </si>
  <si>
    <t>CANDIDO</t>
  </si>
  <si>
    <t>JUKEBOX THE VOICE VERMELHO 25.000 PREMIUM COM MOEDEIRO</t>
  </si>
  <si>
    <t>ANTONIO SOUZA</t>
  </si>
  <si>
    <t>TAIANE</t>
  </si>
  <si>
    <t>MALETA COLORIDA 25000</t>
  </si>
  <si>
    <t>VERA SANTORO</t>
  </si>
  <si>
    <t>MALETAOKE THE VOICE VERMELHA 25000</t>
  </si>
  <si>
    <t>FREDERICO</t>
  </si>
  <si>
    <t>MAQUINA JUKEBOX JBL</t>
  </si>
  <si>
    <t>VINICIUS CARVALHO</t>
  </si>
  <si>
    <t>GEORGE VIEIRA</t>
  </si>
  <si>
    <t>THE VOICE PEQUENA</t>
  </si>
  <si>
    <t>MARCELO RIBEIRO</t>
  </si>
  <si>
    <t>Rafael Avilheira (Ras)</t>
  </si>
  <si>
    <t>FLIPERAMA DRAGON BALL Z</t>
  </si>
  <si>
    <t>JUKEBOX THE VOICE VERDE</t>
  </si>
  <si>
    <t>JUKEBOX THE VOICE MUSIC 11.000 PREMIUM</t>
  </si>
  <si>
    <t>RAFAEL RAS</t>
  </si>
  <si>
    <t>JUKEBOX THE ROXO 27.000 PREMIUM</t>
  </si>
  <si>
    <t>LUANA FEIRA</t>
  </si>
  <si>
    <t>JUKEBOX THE VOICE PERS.27.000 JBL COM FICHEIRO E HDMI</t>
  </si>
  <si>
    <t>ALBERTO</t>
  </si>
  <si>
    <t>ADISLAN</t>
  </si>
  <si>
    <t>ADISLAN NASCIMENTO</t>
  </si>
  <si>
    <t>MALETA CADEIRA VERMELHA</t>
  </si>
  <si>
    <t>MARLUCE</t>
  </si>
  <si>
    <t>JUKEBOX THE VOICE HEINEKEN JBL 25000</t>
  </si>
  <si>
    <t>CHARLES</t>
  </si>
  <si>
    <t>LEONARDO</t>
  </si>
  <si>
    <t>MALETAOKE MICROFONE AZUL 25.000</t>
  </si>
  <si>
    <t>CARLOS BEL</t>
  </si>
  <si>
    <t>MAQUINA THE VOICE PREMIUN MOEDEIRO</t>
  </si>
  <si>
    <t>GLORIA</t>
  </si>
  <si>
    <t>JUKEBOX THE VERMELHO 12.000 PREMIUM</t>
  </si>
  <si>
    <t>LILI</t>
  </si>
  <si>
    <t>MALETAOKE COLORIDA 25000</t>
  </si>
  <si>
    <t>TECLADO ROSA 25000</t>
  </si>
  <si>
    <t>JUKEBOX THE VOICE COLORIDO 25.000 PREMIUM</t>
  </si>
  <si>
    <t>JUKEBOX  25.000 COLORIDA JBL</t>
  </si>
  <si>
    <t>SERGIO ROMULO</t>
  </si>
  <si>
    <t>MALETAOKE VERMELHA E PRETA</t>
  </si>
  <si>
    <t>JU</t>
  </si>
  <si>
    <t>MALETAOKE PRETA 25000</t>
  </si>
  <si>
    <t>EVELYN</t>
  </si>
  <si>
    <t>JUKEBOX 17 POLEGADAS JBL COLORIDA BOCA</t>
  </si>
  <si>
    <t>CARLOS</t>
  </si>
  <si>
    <t>JUKEBOX THE VOICE FLAMENGO 25.000 JBL</t>
  </si>
  <si>
    <t>DANIELLE</t>
  </si>
  <si>
    <t>GISELE</t>
  </si>
  <si>
    <t>JUKEBOX THE VOICE VERMELHA WALTINHO 25.000 PREMIUM</t>
  </si>
  <si>
    <t>FABIO</t>
  </si>
  <si>
    <t>JUKEBOX THE VOICE VERMELHA JBL 25.000</t>
  </si>
  <si>
    <t>ANA LUIZA</t>
  </si>
  <si>
    <t>THE VOICE VERMELHA 25000</t>
  </si>
  <si>
    <t>JORGE CARECA</t>
  </si>
  <si>
    <t>JUKEBOX JACK DANIELS PREMIUM 11000 COM TECLADO</t>
  </si>
  <si>
    <t>THAIS</t>
  </si>
  <si>
    <t>JUKEBOX ANTARTICA JBL 11000 FICHEIRO</t>
  </si>
  <si>
    <t>FLIPERAMA GOLD TEKEN</t>
  </si>
  <si>
    <t>FLIPERAMA GOLD MARIO</t>
  </si>
  <si>
    <t>GISANA</t>
  </si>
  <si>
    <t>LUIZ GUSTAVO</t>
  </si>
  <si>
    <t>MALETA 25.000 MIC VERMELHO</t>
  </si>
  <si>
    <t>2 MALETA MICROFONE VERMELHO 25.000</t>
  </si>
  <si>
    <t>MALETA MICROFONE VERMELHO 25000</t>
  </si>
  <si>
    <t>JUKEBOX THE VERDE JBL 25000</t>
  </si>
  <si>
    <t>SANDRA</t>
  </si>
  <si>
    <t>MALETA GUITARRA 25000</t>
  </si>
  <si>
    <t>SILVIO</t>
  </si>
  <si>
    <t>THE VOICE VERMELHA JBL 25000</t>
  </si>
  <si>
    <t>ALEXANDRE LUIZ</t>
  </si>
  <si>
    <t>JUKEBOX THE VOICE AZUL 11.000 PREMIUM C/ MOEDEIRO</t>
  </si>
  <si>
    <t>SIMONE/MAURO</t>
  </si>
  <si>
    <t>MALETA HEINEKEN 25000</t>
  </si>
  <si>
    <t>SUELLEN  PAINEIRAS</t>
  </si>
  <si>
    <t>FLIPERAMA MORTAL KOMBAT</t>
  </si>
  <si>
    <t>JUKEBOX THE VOICE LARANJA</t>
  </si>
  <si>
    <t>ANDRE NARGUILE</t>
  </si>
  <si>
    <t>MARCIO JORGE</t>
  </si>
  <si>
    <t>MALETA JACK DANIEL´S  25.000</t>
  </si>
  <si>
    <t>VIVI</t>
  </si>
  <si>
    <t>TECLADO ROSA 25.000</t>
  </si>
  <si>
    <t>JUKEBOX VERDE 25.000</t>
  </si>
  <si>
    <t>DAIANA ALVES</t>
  </si>
  <si>
    <t>MALETA COLORIDA 25.000</t>
  </si>
  <si>
    <t>MALETA THE VOICE VERMELHA</t>
  </si>
  <si>
    <t>JADE FRAGOSO</t>
  </si>
  <si>
    <t>ROBERTO E CRIS</t>
  </si>
  <si>
    <t>CASSIANO</t>
  </si>
  <si>
    <t>THE VOICE VERMELHA 25000 JBL</t>
  </si>
  <si>
    <t>HEINEKEN PREMIUN</t>
  </si>
  <si>
    <t>FABY</t>
  </si>
  <si>
    <t>JUKEBOX THE VOICE AZUL PREMIUM 25000 FORMICA</t>
  </si>
  <si>
    <t>TERESINHA</t>
  </si>
  <si>
    <t>MALETAOKE TECLADO ROSA 25000</t>
  </si>
  <si>
    <t>SIDNEY TAQUARA</t>
  </si>
  <si>
    <t>DANI SANTIAGO</t>
  </si>
  <si>
    <t>MALETAOKE MICROFONE HEINEKEN 25.000</t>
  </si>
  <si>
    <t>EDUARDO NEVES</t>
  </si>
  <si>
    <t>JUKEBOX VERDE COLORIDA 25.000 C/ WEB CAM</t>
  </si>
  <si>
    <t>JULIA</t>
  </si>
  <si>
    <t>ANA PAULA</t>
  </si>
  <si>
    <t>THE VOICE CADEIRA</t>
  </si>
  <si>
    <t>ANDRE</t>
  </si>
  <si>
    <t>JUKEBOX THE VOICE ROXA 25.000 JBL</t>
  </si>
  <si>
    <t>JUKEBOX THE VOICE AZUL  25.000 JBL</t>
  </si>
  <si>
    <t>JUKEBOX IPHONE AZUL 25.000 JBL</t>
  </si>
  <si>
    <t>JUKEBOX ROXA 25.000 JBL</t>
  </si>
  <si>
    <t>JUKEBOX THE VOICE VERDE 25.000 PREMIUM SEM MIC</t>
  </si>
  <si>
    <t>ALINE/GUSTAVO</t>
  </si>
  <si>
    <t>JUKEBOX THE VOICE AZUL 25.000 SEM MICROFONE</t>
  </si>
  <si>
    <t>MARCELA</t>
  </si>
  <si>
    <t>GABRIELA</t>
  </si>
  <si>
    <t>JUKEBOX THE VOICE PERSONALIZADO 25000 PREMIUM</t>
  </si>
  <si>
    <t>JUKEBOX THE PRETO PERS 27.000 PREMIUM</t>
  </si>
  <si>
    <t>MALETAOKE VERMELHA 25000 SEM MIC</t>
  </si>
  <si>
    <t>MALETAOKE COLORIDA 25000 SEM MIC</t>
  </si>
  <si>
    <t>JUKEBOX THE VOICE COLORIDA 25.000 PREMIUM SEM MIC</t>
  </si>
  <si>
    <t>JUKEBOX  25.000 PREMIUM</t>
  </si>
  <si>
    <t>FRANK</t>
  </si>
  <si>
    <t>ANDRÉ</t>
  </si>
  <si>
    <t>JUKEBOX THE VOICE VERDE JBL 25.000</t>
  </si>
  <si>
    <t>JUKEBOX THE VOICE CXOLORIDA JBL 25.000</t>
  </si>
  <si>
    <t>JUKEBOX THE VOICE LARANJA JBL 25000</t>
  </si>
  <si>
    <t>JUKEBOX THE VOICE PRETA ESTRELADA JBL 25000</t>
  </si>
  <si>
    <t>JUKEBOX THE VOICE ROXA JBL 25000</t>
  </si>
  <si>
    <t>LEO</t>
  </si>
  <si>
    <t>MAQUINA COLORIDA FORMICA MARROM 25000</t>
  </si>
  <si>
    <t>JACK</t>
  </si>
  <si>
    <t>JUKEBOX THE VOICE  25.000  PREMIUM</t>
  </si>
  <si>
    <t>YURI</t>
  </si>
  <si>
    <t>MARCIO BARBOSA</t>
  </si>
  <si>
    <t>MALETA MUSIC 25000</t>
  </si>
  <si>
    <t>ANA PAULA DE OLIVEIRA</t>
  </si>
  <si>
    <t>MALETA MIC VERMELHO 25000</t>
  </si>
  <si>
    <t>JEMERSON</t>
  </si>
  <si>
    <t>JUKEBOX THE VOICE TURMA DA MONICA 25.000</t>
  </si>
  <si>
    <t>RAFAEL BARBOSA</t>
  </si>
  <si>
    <t>MALETAOKE MICHAEL 11000</t>
  </si>
  <si>
    <t>JUKEBOX IPHONE AZUL 25.000 PREMIUM SEM MICROFONE</t>
  </si>
  <si>
    <t>JUKEBOX IPHONE DOURADO 25.000 PREMIUM SEM MICROFONE</t>
  </si>
  <si>
    <t>ROMULO DE MELLO</t>
  </si>
  <si>
    <t>ROMULO DE MELO</t>
  </si>
  <si>
    <t>MALETAOKE HEINEKEN</t>
  </si>
  <si>
    <t>ROSENI MIRANDA</t>
  </si>
  <si>
    <t>ENILDA</t>
  </si>
  <si>
    <t>JUKEBOX THE VOICE VERMELHA 27.000</t>
  </si>
  <si>
    <t>PATRÍCIA SOUZA</t>
  </si>
  <si>
    <t>MALETAOKE PRETA ESTRELAS 25.000</t>
  </si>
  <si>
    <t>MARLI</t>
  </si>
  <si>
    <t>LUANA</t>
  </si>
  <si>
    <t>ALEX SANDRO</t>
  </si>
  <si>
    <t>THE VOICE 17 POLEGADAS PREMIUM</t>
  </si>
  <si>
    <t>HOJANA/ rogerio</t>
  </si>
  <si>
    <t>MALETA COLORIDA VERDE 10000</t>
  </si>
  <si>
    <t>CARLOS AUGUSTO</t>
  </si>
  <si>
    <t>DENISE CARVALHO</t>
  </si>
  <si>
    <t>MALETA PRETA ESTRELADO 25000</t>
  </si>
  <si>
    <t>EVELLYN RAMOS</t>
  </si>
  <si>
    <t>MALETA CORAÇÃO MUSIC</t>
  </si>
  <si>
    <t>PRISCILA</t>
  </si>
  <si>
    <t>FLIPERAMA PORTÁTIL HOMEM ARANHA</t>
  </si>
  <si>
    <t>MARILENE</t>
  </si>
  <si>
    <t>TECLADO ROSA BASICO</t>
  </si>
  <si>
    <t>FIGUEIRA</t>
  </si>
  <si>
    <t>ANA BEATRIZ</t>
  </si>
  <si>
    <t>BARBARA GOMES</t>
  </si>
  <si>
    <t>JUKEBOX VERMELHA 11000</t>
  </si>
  <si>
    <t>CRISTIANO VALÉRIO</t>
  </si>
  <si>
    <t>THE VOICE PEQUENA VERMELHA</t>
  </si>
  <si>
    <t>RAFAEL PHILLIPS</t>
  </si>
  <si>
    <t>FABI</t>
  </si>
  <si>
    <t>JUKEBOX 25.000 VERMELHO</t>
  </si>
  <si>
    <t>GILDA</t>
  </si>
  <si>
    <t>JAQUELINE PAULA</t>
  </si>
  <si>
    <t>FELIZARDO</t>
  </si>
  <si>
    <t>PERS FAMILIA</t>
  </si>
  <si>
    <t>THAISSA</t>
  </si>
  <si>
    <t>PATRICIA / DEIVID</t>
  </si>
  <si>
    <t>JUKEBOX THE VOICE AZUL MARCELO 25.000 JBL</t>
  </si>
  <si>
    <t>RAFAEL (LEOZINHO</t>
  </si>
  <si>
    <t>FLIPERAMA PORTÁTIL SONIC</t>
  </si>
  <si>
    <t>INSTALAÇÃO DE SITEMA 25.000 C/ CATALOGO</t>
  </si>
  <si>
    <t>ANDERSON CUBA</t>
  </si>
  <si>
    <t>PRETA</t>
  </si>
  <si>
    <t>JORGE GOMES/MAURO</t>
  </si>
  <si>
    <t>JUKEBOX THE VOICE 17 POLEGADAS AZUL</t>
  </si>
  <si>
    <t>GISELI BARBOZA</t>
  </si>
  <si>
    <t>MARGARIDA</t>
  </si>
  <si>
    <t>JUKEBOX JACK DANEIL´S</t>
  </si>
  <si>
    <t>BRUNA</t>
  </si>
  <si>
    <t>JUKEBOX THE VOICE AUTISMO 25.000 PREMIUM</t>
  </si>
  <si>
    <t>JUKEBOX MUSIC 25.000 PREMIUM</t>
  </si>
  <si>
    <t>DANIEL\MARCELY</t>
  </si>
  <si>
    <t>JUKEBOX THE VOICE VERMELHA 25.000 PREMIUM COM MOEDEIRO</t>
  </si>
  <si>
    <t>LK BRINQUEDOS</t>
  </si>
  <si>
    <t>SISTEMA MAQUINA GUITARRA</t>
  </si>
  <si>
    <t>FERNANDA VIDAL</t>
  </si>
  <si>
    <t>MALETAOKE BLUE LABEL ATUALIZÇÃO</t>
  </si>
  <si>
    <t>THE VOICE AZUL 11000</t>
  </si>
  <si>
    <t>EDSON\MARIA GABRIELA</t>
  </si>
  <si>
    <t>MALETA COLORIDA VERDE 25000</t>
  </si>
  <si>
    <t>Angélica Ferreira</t>
  </si>
  <si>
    <t>JUKEBOX VERMELHA COM MOEDEIRO</t>
  </si>
  <si>
    <t>JAQUELINE</t>
  </si>
  <si>
    <t>JUKEBOX THE VOICE VERDE 25.000 JBL</t>
  </si>
  <si>
    <t>FELIPE</t>
  </si>
  <si>
    <t>WAGNER LUIZ</t>
  </si>
  <si>
    <t>FABIANA</t>
  </si>
  <si>
    <t>Eliel Alexandre CABO FRIO</t>
  </si>
  <si>
    <t>ELIEL</t>
  </si>
  <si>
    <t>Cristian Luis</t>
  </si>
  <si>
    <t>MALETA PRETA ESRTELA 25000</t>
  </si>
  <si>
    <t>RAFAEL ALBUQUERQUE</t>
  </si>
  <si>
    <t>Roberta Monteiro</t>
  </si>
  <si>
    <t>JUKEBOX 17 POLEGADAS PRETA</t>
  </si>
  <si>
    <t>ROBERTA MONTEIRO</t>
  </si>
  <si>
    <t>JUKEBOX 17 POLEGADAS THE VOICE</t>
  </si>
  <si>
    <t>JUKEBOX 17 POLEGADAS PREMIUM HEINEKEN</t>
  </si>
  <si>
    <t>BRUNA FELIX</t>
  </si>
  <si>
    <t>JUKEBOX THE VOICE 17 POLEGADAS VERMELHA</t>
  </si>
  <si>
    <t>ROSANA</t>
  </si>
  <si>
    <t>JUKEBOX MUSIC PLAYER HD 500GB</t>
  </si>
  <si>
    <t>MARCELO DA CUNHA</t>
  </si>
  <si>
    <t>MELETA COLORIDA VERDE 25000</t>
  </si>
  <si>
    <t>ALEXANDRE</t>
  </si>
  <si>
    <t>MIGUEL</t>
  </si>
  <si>
    <t>MALETAOKE JACK DANIELS 25000</t>
  </si>
  <si>
    <t>JUKEBOX 17 POLEGADAS JBL MAQUINA PEIXE</t>
  </si>
  <si>
    <t>WALTER LISBOA/ FELIPE</t>
  </si>
  <si>
    <t>JOSE ROBERTO</t>
  </si>
  <si>
    <t>MALETA 25.000 MIC COCA COLA</t>
  </si>
  <si>
    <t>JESSICA</t>
  </si>
  <si>
    <t>JUKEBOX THE VOICE AZUL 25.000  PREMIUM</t>
  </si>
  <si>
    <t>JUKEBOX THE AZUL  PERS 27.000 PREMIUM</t>
  </si>
  <si>
    <t>JUKEBOX AZUL PADRAO 27.000</t>
  </si>
  <si>
    <t>MALETAOKE AZUL 25000 SEM MIC</t>
  </si>
  <si>
    <t>KARINA</t>
  </si>
  <si>
    <t>MALETAOKE COCA COLA MIC 27000</t>
  </si>
  <si>
    <t>WELIGNTON FERREIRA</t>
  </si>
  <si>
    <t>JUKEBOX AZUL 25.000</t>
  </si>
  <si>
    <t>AMANDA OLIMPO</t>
  </si>
  <si>
    <t>BLUE LABEL JBL</t>
  </si>
  <si>
    <t>FABIO DE LUCA</t>
  </si>
  <si>
    <t>VANESSA VERONEZ</t>
  </si>
  <si>
    <t>MALETAOKE MICROFONE VERMELHA</t>
  </si>
  <si>
    <t>VENICIUS</t>
  </si>
  <si>
    <t>MALETAOKE THE VOICE VERMELHA CADEIRAS</t>
  </si>
  <si>
    <t>JUKEBOX VERMELHA 25.000 JBL</t>
  </si>
  <si>
    <t>RODOLPHO</t>
  </si>
  <si>
    <t>RODOLPHO CRUZ</t>
  </si>
  <si>
    <t>EDUARDO LIMA / SANDY</t>
  </si>
  <si>
    <t>EDUARDO LIMA (SANDY)</t>
  </si>
  <si>
    <t>JULIO SANTOS</t>
  </si>
  <si>
    <t>MALETAOKÊ AZUL MICROFONE</t>
  </si>
  <si>
    <t>THALITA STEVENES</t>
  </si>
  <si>
    <t>MALETA COLORIDA  25000</t>
  </si>
  <si>
    <t>MIKE</t>
  </si>
  <si>
    <t>ALAN</t>
  </si>
  <si>
    <t>MUSIC PLAYER</t>
  </si>
  <si>
    <t>GUILHERME / BRUNO</t>
  </si>
  <si>
    <t>GABRIEL FERNANDES</t>
  </si>
  <si>
    <t>ADILSON ALVES/ JUNIOR</t>
  </si>
  <si>
    <t>JUKEBOX THE VOICE VERMELHA C/ MOEDEIRO 25.000</t>
  </si>
  <si>
    <t>JUKEBOX THE VOICE ROSA 25.000 PREMIUM</t>
  </si>
  <si>
    <t>MAURICIO RICARDO</t>
  </si>
  <si>
    <t>MICROFONE VERMELHA</t>
  </si>
  <si>
    <t>MAURICIO RICARDO MAIA/KELLY</t>
  </si>
  <si>
    <t>BEATRIZ ALVES</t>
  </si>
  <si>
    <t>JUKEBOX THE VOICE VERDE 25.000  PREMIUM</t>
  </si>
  <si>
    <t>DANIEL ARTIGOS</t>
  </si>
  <si>
    <t>JUKEBOX THE AZUL PERSONALIZADO 27.000 JBL</t>
  </si>
  <si>
    <t>WALCYRA/ JOSE AUGUSTO</t>
  </si>
  <si>
    <t>DIOGO GUIMARAES</t>
  </si>
  <si>
    <t>DANIEL COUTINHO</t>
  </si>
  <si>
    <t>ARAUJO</t>
  </si>
  <si>
    <t>SISTEMA ARAUJO</t>
  </si>
  <si>
    <t>THE VOICE VERMELHA LED</t>
  </si>
  <si>
    <t>DENNIS DJ</t>
  </si>
  <si>
    <t>JULIANA</t>
  </si>
  <si>
    <t>JUKEBOX VERMELHA 11.000 PREMIUM MUDOU O SISTEMA</t>
  </si>
  <si>
    <t>JUKEBOX BLUE LABEL 25.000</t>
  </si>
  <si>
    <t>JUKEBOX HEINEKEN 25.000</t>
  </si>
  <si>
    <t>FERNANDO DAS MESAS</t>
  </si>
  <si>
    <t>JUKEBOX THE VOICE COLORIDA  25.000 JBL</t>
  </si>
  <si>
    <t>GERALDO</t>
  </si>
  <si>
    <t>JEFERSON</t>
  </si>
  <si>
    <t>VANDIER CRUZ</t>
  </si>
  <si>
    <t>ROBSON</t>
  </si>
  <si>
    <t>THE VOICE HEINEIKEN JBL</t>
  </si>
  <si>
    <t>JUKEBOX AZUL 27.000 JBL</t>
  </si>
  <si>
    <t>CECILIA</t>
  </si>
  <si>
    <t>NAZARE</t>
  </si>
  <si>
    <t>LORENA RIBEIRO</t>
  </si>
  <si>
    <t>MALETAOKE TECLADO ROSA 11.000</t>
  </si>
  <si>
    <t>KAROLINE CARVALHO/ LEONARDO</t>
  </si>
  <si>
    <t>MALETA CADEIRAS VERMELHAS</t>
  </si>
  <si>
    <t>ALLAN</t>
  </si>
  <si>
    <t>MAXWEL</t>
  </si>
  <si>
    <t>ESHARES / FELIPE MARTINS</t>
  </si>
  <si>
    <t>MALETA THE VOICE BLUE LABEL</t>
  </si>
  <si>
    <t>Fabia (Flávia Saraiva)</t>
  </si>
  <si>
    <t>RENATA</t>
  </si>
  <si>
    <t>FLIPERAMA PORTATIL COM MESA</t>
  </si>
  <si>
    <t>PAULO CESAR RIBEIRO</t>
  </si>
  <si>
    <t>CRISTIANO</t>
  </si>
  <si>
    <t>Luiz Felipe</t>
  </si>
  <si>
    <t>HEINEKEN 25000</t>
  </si>
  <si>
    <t>DOMINGOS FERNANDES</t>
  </si>
  <si>
    <t>JUKEBOX THE VOICE AZUL 25.000 PREMIUM C/ MOEDEIRO</t>
  </si>
  <si>
    <t>JUKEBOX THE VOICE NOVA 25.000 JBL</t>
  </si>
  <si>
    <t>NEYLANE</t>
  </si>
  <si>
    <t>IZABELLA</t>
  </si>
  <si>
    <t>THE VOICE ROSA PERSONALIZADA 25000</t>
  </si>
  <si>
    <t>GUILHERME / GISELA</t>
  </si>
  <si>
    <t>JUKEBOX FLAMENGO JBL</t>
  </si>
  <si>
    <t>PATRICK\MEGA KIDS</t>
  </si>
  <si>
    <t>JUKEBOX THE VOICE AZUL 25.000</t>
  </si>
  <si>
    <t>ALCIR</t>
  </si>
  <si>
    <t>KAMILA SARDINHA</t>
  </si>
  <si>
    <t>IPHONE  25000 JBL</t>
  </si>
  <si>
    <t>FRANCISCO</t>
  </si>
  <si>
    <t>Edson Fábio de Oliveira MACAE</t>
  </si>
  <si>
    <t>GABRIEL SAQUAREMA</t>
  </si>
  <si>
    <t>THE VOICE AZUL JBL</t>
  </si>
  <si>
    <t>BEATRIZ BARBOSA</t>
  </si>
  <si>
    <t>PATRICIA DE CARVALHO</t>
  </si>
  <si>
    <t>MICROFONE THE VOICE CADEIRA</t>
  </si>
  <si>
    <t>CRISTIANE</t>
  </si>
  <si>
    <t>CADEIRAS VERMELHA</t>
  </si>
  <si>
    <t>ELIZABETH</t>
  </si>
  <si>
    <t>MAQUINA VINTAGE JBL</t>
  </si>
  <si>
    <t>JACKELINE COSTA</t>
  </si>
  <si>
    <t>1475</t>
  </si>
  <si>
    <t>HENRIQUE</t>
  </si>
  <si>
    <t>RENATA MORAES</t>
  </si>
  <si>
    <t>RONEY CHAGAS \ SAMANTHA</t>
  </si>
  <si>
    <t>MALETA MICROFONE COLORIDA 25000</t>
  </si>
  <si>
    <t>DALVA</t>
  </si>
  <si>
    <t>MALETAOKE VERMELHA 25000 COM MOEDEIRO</t>
  </si>
  <si>
    <t>DENIS ARENAS</t>
  </si>
  <si>
    <t>Mauro Azevedo</t>
  </si>
  <si>
    <t>2 JUKEBOX 25.000</t>
  </si>
  <si>
    <t>GEORGE ROBERTO</t>
  </si>
  <si>
    <t>THAMIRIS</t>
  </si>
  <si>
    <t>WELLITON</t>
  </si>
  <si>
    <t>JUKEBOX THE VOICE HEINEKEN 25000 JBL</t>
  </si>
  <si>
    <t>LENEMAR DA SILVA</t>
  </si>
  <si>
    <t>THE VOICE HEINEKEN 11000 PREMIUM</t>
  </si>
  <si>
    <t>MALETA TECLADO ROSA</t>
  </si>
  <si>
    <t>SIMONE VARGAS</t>
  </si>
  <si>
    <t>JUKEBOX HIP HOP</t>
  </si>
  <si>
    <t>JOSILDO GOMES</t>
  </si>
  <si>
    <t>MALETAOKE THE VOICE AMARELA</t>
  </si>
  <si>
    <t>PATRÍCIA</t>
  </si>
  <si>
    <t>JUKEBOX THE VOICE COLORIDA CLARA NA FORMICA JBL 11000</t>
  </si>
  <si>
    <t>INAIARA</t>
  </si>
  <si>
    <t>HEINEKEN PREMIUM</t>
  </si>
  <si>
    <t>RODRIGO PAULINO/ CESAR</t>
  </si>
  <si>
    <t>MARIO MONTENEGRO</t>
  </si>
  <si>
    <t>MALETAOKE HEINEKEN 25000</t>
  </si>
  <si>
    <t>ANDERSON CRUZICK</t>
  </si>
  <si>
    <t>MALETAOKE VERDE COLORIDA 25.000</t>
  </si>
  <si>
    <t>ALEKES OLIVEIRA</t>
  </si>
  <si>
    <t>THE VOICE PERSONALIZADA 11000 PREMIUM</t>
  </si>
  <si>
    <t>ITAMARA PARATI</t>
  </si>
  <si>
    <t>MICROFONE VERMELHO 11000</t>
  </si>
  <si>
    <t>ROBERTO CESAR</t>
  </si>
  <si>
    <t>JUKEBOX COLORIDA 27.000 PREMIUM</t>
  </si>
  <si>
    <t>VAGNER</t>
  </si>
  <si>
    <t>Leandro lessa</t>
  </si>
  <si>
    <t>MUSIC PLAYER hd de 500gb</t>
  </si>
  <si>
    <t>FLIPERAMA BARTOP</t>
  </si>
  <si>
    <t>ICAI</t>
  </si>
  <si>
    <t>BARTOP VINGADORES</t>
  </si>
  <si>
    <t>BARTOP MÁRIO</t>
  </si>
  <si>
    <t>EVERTON PETRÔNIO</t>
  </si>
  <si>
    <t>BRUNO CESAR</t>
  </si>
  <si>
    <t>FLIPERAMA MÁRIO/SONIC</t>
  </si>
  <si>
    <t>WARLEY VARELA</t>
  </si>
  <si>
    <t>JUKEBOX ROCK</t>
  </si>
  <si>
    <t>LEANDRO AZEVEDO</t>
  </si>
  <si>
    <t>JORGE VINICIUS</t>
  </si>
  <si>
    <t>VALERIA DE FATIMA -MARANHAO</t>
  </si>
  <si>
    <t>VENDEU</t>
  </si>
  <si>
    <t>MALETAOKE  THE VOICE VERMELHA CADEIRAS</t>
  </si>
  <si>
    <t>BALDIANE</t>
  </si>
  <si>
    <t>FLIPERAMA PORTATIL+GABINETE MARIO</t>
  </si>
  <si>
    <t>JOICE</t>
  </si>
  <si>
    <t>ADELSON</t>
  </si>
  <si>
    <t>THE VOICE AZUL NOTA MUSICAIS</t>
  </si>
  <si>
    <t>ELITON</t>
  </si>
  <si>
    <t>THE VOICE MUSIC MARRON</t>
  </si>
  <si>
    <t>JOSEANE</t>
  </si>
  <si>
    <t>Rosane Figueiredo</t>
  </si>
  <si>
    <t>JOSUÉ</t>
  </si>
  <si>
    <t>MALETA AZUL MICROFONE</t>
  </si>
  <si>
    <t>ROSELIA</t>
  </si>
  <si>
    <t>VALÉRIA DA SILVA 21991445077 vendeu</t>
  </si>
  <si>
    <t>THE VOICE VERMELHA PREMUIM</t>
  </si>
  <si>
    <t>CATHARINE</t>
  </si>
  <si>
    <t>HEINEKEN COM BOTAFOGO</t>
  </si>
  <si>
    <t>EDERSON</t>
  </si>
  <si>
    <t>MALETA THE VOICE MICROFONE AZUL</t>
  </si>
  <si>
    <t>LUZIA</t>
  </si>
  <si>
    <t>CAMILA</t>
  </si>
  <si>
    <t>ARTHUR 21984033108 não quer</t>
  </si>
  <si>
    <t>NÃO QUER</t>
  </si>
  <si>
    <t>LANDERSON</t>
  </si>
  <si>
    <t>25 MIL</t>
  </si>
  <si>
    <t>OSMAN NÃO UTILIZA MAIS</t>
  </si>
  <si>
    <t>Augusto César Miranda Vilela</t>
  </si>
  <si>
    <t>Cássia Siqueira</t>
  </si>
  <si>
    <t>MELETA</t>
  </si>
  <si>
    <t>Thais Moraes</t>
  </si>
  <si>
    <t>GILMAR ARMANELI</t>
  </si>
  <si>
    <t>MALETAOKÊ HEINEKEN 25000</t>
  </si>
  <si>
    <t>ETHIMA Elcio</t>
  </si>
  <si>
    <t>Edna Coutinho</t>
  </si>
  <si>
    <t>ROBSON SAMPAIO/ DJ MAURICIO</t>
  </si>
  <si>
    <t>LISTA NEGRA</t>
  </si>
  <si>
    <t>LUIZ</t>
  </si>
  <si>
    <t>LUCIANA CRISTINA</t>
  </si>
  <si>
    <t>DIONE</t>
  </si>
  <si>
    <t>TATIANA FOI ROUBADA</t>
  </si>
  <si>
    <t>ROUBADA</t>
  </si>
  <si>
    <t>LILLIANA</t>
  </si>
  <si>
    <t>TATIANA  BAHIA reposição</t>
  </si>
  <si>
    <t>MARCIO CANAAN</t>
  </si>
  <si>
    <t>JUKEBOX THE VERDE PREMIUM 11000</t>
  </si>
  <si>
    <t>JUKEBOX FUN FESTS 25.000 JBL</t>
  </si>
  <si>
    <t>FLIPERAMA 43 POLEGADAS</t>
  </si>
  <si>
    <t>PAULO NAKAMURA</t>
  </si>
  <si>
    <t>MALETAOKE GUITARRA 25000</t>
  </si>
  <si>
    <t>JUKEBOX THE VOICE VERDE 25.000 JBL SEM MIC E SEM CAT</t>
  </si>
  <si>
    <t>RAPHAEL RAS</t>
  </si>
  <si>
    <t>JUKEBOX THE VOICE COLORIDA 11.000 PREMIUM</t>
  </si>
  <si>
    <t>HELENO</t>
  </si>
  <si>
    <t>VANDA</t>
  </si>
  <si>
    <t>JUKEBOX IPHONE PRETO ANOS 90 25.000 JBL MIC SEM FIO</t>
  </si>
  <si>
    <t>JUKEBOX THE VOICE VERMELHA MARCELO 25.000 PREMIUM</t>
  </si>
  <si>
    <t>RAPHAEL NANA</t>
  </si>
  <si>
    <t>CARLA\LEANDRO</t>
  </si>
  <si>
    <t>JUKEBOX IPHONE 25.000 VERMELHO JBL</t>
  </si>
  <si>
    <t>GEIZA</t>
  </si>
  <si>
    <t>JUKEBOX THE VOICE COLORIDA 25.000</t>
  </si>
  <si>
    <t>MAURO</t>
  </si>
  <si>
    <t>JUKEBOX PRETO E DOURADO 25.000 JBL</t>
  </si>
  <si>
    <t>JUKEBOX LARANJA 25.000 JBL</t>
  </si>
  <si>
    <t>ALAN TEXEIRA</t>
  </si>
  <si>
    <t>JUKEBOX VERMELHA PADRAO 27.000</t>
  </si>
  <si>
    <t>NA</t>
  </si>
  <si>
    <t>2022.1</t>
  </si>
  <si>
    <t>2022.2</t>
  </si>
  <si>
    <t>2022.3</t>
  </si>
  <si>
    <t>2023.1</t>
  </si>
  <si>
    <t>2023.2</t>
  </si>
  <si>
    <t>2023.3</t>
  </si>
  <si>
    <t>2023.4</t>
  </si>
  <si>
    <t>2024.1</t>
  </si>
  <si>
    <t>2024.2</t>
  </si>
  <si>
    <t>2025.1</t>
  </si>
  <si>
    <t>2025.2</t>
  </si>
  <si>
    <t>2026.1</t>
  </si>
  <si>
    <t>POSICAO</t>
  </si>
  <si>
    <t>PACOTE</t>
  </si>
  <si>
    <t>INICIO</t>
  </si>
  <si>
    <t>FIM</t>
  </si>
  <si>
    <t>PACOTE FALTA</t>
  </si>
  <si>
    <t>FALTA PACOTE</t>
  </si>
  <si>
    <t>IPHONE HEINEIKEN</t>
  </si>
  <si>
    <t>THE VOICE VERMELHA PREMIUM</t>
  </si>
  <si>
    <t>Nome no WhatsApp</t>
  </si>
  <si>
    <t>MAQUINA</t>
  </si>
  <si>
    <t>KRJ0004</t>
  </si>
  <si>
    <t>KRJ0005</t>
  </si>
  <si>
    <t>KRJ0015</t>
  </si>
  <si>
    <t>KRJ0016</t>
  </si>
  <si>
    <t>REDE INSTALADA</t>
  </si>
  <si>
    <t>KR00018</t>
  </si>
  <si>
    <t>MAQUINA VERDE PREMIUM</t>
  </si>
  <si>
    <t>KR00006</t>
  </si>
  <si>
    <t>KRJ00010</t>
  </si>
  <si>
    <t>KRJ00021</t>
  </si>
  <si>
    <t>KRJ00019</t>
  </si>
  <si>
    <t>KRJ00007</t>
  </si>
  <si>
    <t>KRJ00008</t>
  </si>
  <si>
    <t>KRJ00009</t>
  </si>
  <si>
    <t>KRJ00003</t>
  </si>
  <si>
    <t>KRJ00016</t>
  </si>
  <si>
    <t>KRJ00017</t>
  </si>
  <si>
    <t>KRJ00002</t>
  </si>
  <si>
    <t>KRJ00011</t>
  </si>
  <si>
    <t>KRJ00012</t>
  </si>
  <si>
    <t>KRJ00020</t>
  </si>
  <si>
    <t>KRJ00001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</si>
</sst>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25">
    <font>
      <sz val="11"/>
      <color theme="1"/>
      <name val="Calibri"/>
    </font>
    <font>
      <sz val="11"/>
      <color theme="1"/>
      <name val="Calibri"/>
    </font>
    <font>
      <sz val="11"/>
      <color rgb="FFFF0000"/>
      <name val="Calibri"/>
    </font>
    <font>
      <b/>
      <sz val="11"/>
      <color theme="1"/>
      <name val="Calibri"/>
    </font>
    <font>
      <sz val="11"/>
      <color rgb="FF00B0F0"/>
      <name val="Calibri"/>
    </font>
    <font>
      <sz val="11"/>
      <color theme="10"/>
      <name val="Calibri"/>
    </font>
    <font>
      <sz val="11"/>
      <name val="Calibri"/>
    </font>
    <font>
      <b/>
      <sz val="11"/>
      <name val="Calibri"/>
    </font>
    <font>
      <sz val="11"/>
      <name val="Calibri"/>
    </font>
    <font>
      <b/>
      <sz val="12"/>
      <color theme="0"/>
      <name val="Calibri"/>
    </font>
    <font>
      <sz val="11"/>
      <color theme="1"/>
      <name val="Calibri"/>
    </font>
    <font>
      <sz val="11"/>
      <color rgb="FFFF0000"/>
      <name val="Calibri"/>
    </font>
    <font>
      <sz val="11"/>
      <color theme="1"/>
      <name val="Carlito"/>
    </font>
    <font>
      <sz val="8"/>
      <color theme="1"/>
      <name val="Arial"/>
    </font>
    <font>
      <b/>
      <sz val="12"/>
      <color rgb="FFFFFFFF"/>
      <name val="Calibri"/>
    </font>
    <font>
      <b/>
      <sz val="11"/>
      <color rgb="FFFFFFFF"/>
      <name val="Calibri"/>
    </font>
    <font>
      <sz val="11"/>
      <color theme="1"/>
      <name val="Calibri"/>
      <family val="2"/>
      <scheme val="major"/>
    </font>
    <font>
      <b/>
      <sz val="12"/>
      <color rgb="FFFFFFFF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2"/>
      <color theme="1"/>
      <name val="Calibri"/>
      <family val="2"/>
    </font>
    <font>
      <sz val="12"/>
      <name val="Calibri"/>
      <family val="2"/>
    </font>
    <font>
      <b/>
      <sz val="11"/>
      <name val="Calibri"/>
      <family val="2"/>
    </font>
    <font>
      <b/>
      <sz val="12"/>
      <color theme="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</patternFill>
    </fill>
    <fill>
      <patternFill patternType="solid">
        <fgColor rgb="FF92D050"/>
      </patternFill>
    </fill>
    <fill>
      <patternFill patternType="solid">
        <fgColor theme="1"/>
      </patternFill>
    </fill>
    <fill>
      <patternFill patternType="solid">
        <fgColor rgb="FFFF0000"/>
      </patternFill>
    </fill>
    <fill>
      <patternFill patternType="solid">
        <fgColor theme="0"/>
      </patternFill>
    </fill>
    <fill>
      <patternFill patternType="solid">
        <fgColor rgb="FFFFC000"/>
      </patternFill>
    </fill>
    <fill>
      <patternFill patternType="solid">
        <fgColor rgb="FFC00000"/>
      </patternFill>
    </fill>
    <fill>
      <patternFill patternType="solid">
        <fgColor rgb="FF00B050"/>
      </patternFill>
    </fill>
    <fill>
      <patternFill patternType="solid">
        <fgColor rgb="FF66FFFF"/>
      </patternFill>
    </fill>
    <fill>
      <patternFill patternType="solid">
        <fgColor rgb="FF0066FF"/>
      </patternFill>
    </fill>
    <fill>
      <patternFill patternType="solid">
        <fgColor rgb="FF1F4E78"/>
      </patternFill>
    </fill>
    <fill>
      <patternFill patternType="solid">
        <fgColor rgb="FF1F4E78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109">
    <xf numFmtId="0" fontId="0" fillId="0" borderId="0" xfId="0"/>
    <xf numFmtId="0" fontId="2" fillId="0" borderId="0" xfId="0" applyFont="1"/>
    <xf numFmtId="0" fontId="3" fillId="0" borderId="0" xfId="0" applyFont="1"/>
    <xf numFmtId="0" fontId="6" fillId="6" borderId="0" xfId="0" applyFont="1" applyFill="1"/>
    <xf numFmtId="0" fontId="7" fillId="0" borderId="0" xfId="0" applyFont="1"/>
    <xf numFmtId="0" fontId="6" fillId="0" borderId="0" xfId="0" applyFont="1"/>
    <xf numFmtId="0" fontId="7" fillId="0" borderId="0" xfId="0" applyFont="1" applyAlignment="1">
      <alignment horizontal="left" vertic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wrapText="1"/>
    </xf>
    <xf numFmtId="44" fontId="6" fillId="0" borderId="0" xfId="1" applyFont="1" applyFill="1" applyBorder="1" applyAlignment="1">
      <alignment horizontal="right"/>
    </xf>
    <xf numFmtId="0" fontId="6" fillId="0" borderId="0" xfId="0" applyFont="1" applyAlignment="1">
      <alignment horizontal="left"/>
    </xf>
    <xf numFmtId="0" fontId="9" fillId="0" borderId="0" xfId="0" applyFont="1" applyAlignment="1">
      <alignment horizontal="center" vertical="center" wrapText="1"/>
    </xf>
    <xf numFmtId="0" fontId="6" fillId="2" borderId="0" xfId="0" applyFont="1" applyFill="1"/>
    <xf numFmtId="0" fontId="6" fillId="8" borderId="0" xfId="0" applyFont="1" applyFill="1"/>
    <xf numFmtId="0" fontId="0" fillId="0" borderId="0" xfId="0" applyAlignment="1">
      <alignment horizontal="left"/>
    </xf>
    <xf numFmtId="0" fontId="2" fillId="4" borderId="0" xfId="0" applyFont="1" applyFill="1"/>
    <xf numFmtId="0" fontId="7" fillId="2" borderId="0" xfId="0" applyFont="1" applyFill="1"/>
    <xf numFmtId="0" fontId="7" fillId="6" borderId="0" xfId="0" applyFont="1" applyFill="1"/>
    <xf numFmtId="0" fontId="7" fillId="7" borderId="0" xfId="0" applyFont="1" applyFill="1"/>
    <xf numFmtId="0" fontId="7" fillId="9" borderId="0" xfId="0" applyFont="1" applyFill="1"/>
    <xf numFmtId="0" fontId="7" fillId="3" borderId="0" xfId="0" applyFont="1" applyFill="1"/>
    <xf numFmtId="0" fontId="7" fillId="5" borderId="0" xfId="0" applyFont="1" applyFill="1"/>
    <xf numFmtId="0" fontId="7" fillId="10" borderId="0" xfId="0" applyFont="1" applyFill="1"/>
    <xf numFmtId="0" fontId="3" fillId="11" borderId="0" xfId="0" applyFont="1" applyFill="1"/>
    <xf numFmtId="0" fontId="3" fillId="6" borderId="0" xfId="0" applyFont="1" applyFill="1"/>
    <xf numFmtId="0" fontId="0" fillId="0" borderId="0" xfId="0"/>
    <xf numFmtId="0" fontId="3" fillId="5" borderId="0" xfId="0" applyFont="1" applyFill="1"/>
    <xf numFmtId="0" fontId="6" fillId="0" borderId="0" xfId="0" applyFont="1" applyAlignment="1">
      <alignment horizontal="left" vertical="top"/>
    </xf>
    <xf numFmtId="14" fontId="6" fillId="0" borderId="1" xfId="0" applyNumberFormat="1" applyFont="1" applyFill="1" applyBorder="1" applyAlignment="1">
      <alignment horizontal="center"/>
    </xf>
    <xf numFmtId="0" fontId="6" fillId="0" borderId="1" xfId="0" applyFont="1" applyFill="1" applyBorder="1" applyAlignment="1">
      <alignment horizontal="left" vertical="top" wrapText="1"/>
    </xf>
    <xf numFmtId="0" fontId="8" fillId="0" borderId="1" xfId="2" applyFont="1" applyFill="1" applyBorder="1" applyAlignment="1">
      <alignment horizontal="left" vertical="top"/>
    </xf>
    <xf numFmtId="0" fontId="6" fillId="0" borderId="1" xfId="0" applyFont="1" applyFill="1" applyBorder="1" applyAlignment="1">
      <alignment horizontal="left" vertical="top"/>
    </xf>
    <xf numFmtId="44" fontId="6" fillId="0" borderId="1" xfId="1" applyFont="1" applyFill="1" applyBorder="1" applyAlignment="1">
      <alignment horizontal="left" vertical="top"/>
    </xf>
    <xf numFmtId="0" fontId="0" fillId="0" borderId="1" xfId="0" applyFont="1" applyFill="1" applyBorder="1" applyAlignment="1">
      <alignment horizontal="left" vertical="top"/>
    </xf>
    <xf numFmtId="14" fontId="6" fillId="0" borderId="1" xfId="0" applyNumberFormat="1" applyFont="1" applyFill="1" applyBorder="1" applyAlignment="1">
      <alignment horizontal="center" vertical="center"/>
    </xf>
    <xf numFmtId="0" fontId="6" fillId="0" borderId="1" xfId="2" applyFont="1" applyFill="1" applyBorder="1" applyAlignment="1">
      <alignment horizontal="left" vertical="top"/>
    </xf>
    <xf numFmtId="3" fontId="6" fillId="0" borderId="1" xfId="0" applyNumberFormat="1" applyFont="1" applyFill="1" applyBorder="1" applyAlignment="1">
      <alignment horizontal="left" vertical="top"/>
    </xf>
    <xf numFmtId="14" fontId="6" fillId="0" borderId="1" xfId="0" applyNumberFormat="1" applyFont="1" applyFill="1" applyBorder="1" applyAlignment="1">
      <alignment horizontal="center"/>
    </xf>
    <xf numFmtId="14" fontId="2" fillId="0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left" vertical="top"/>
    </xf>
    <xf numFmtId="0" fontId="11" fillId="0" borderId="1" xfId="2" applyFont="1" applyFill="1" applyBorder="1" applyAlignment="1">
      <alignment horizontal="left" vertical="top"/>
    </xf>
    <xf numFmtId="44" fontId="2" fillId="0" borderId="1" xfId="1" applyFont="1" applyFill="1" applyBorder="1" applyAlignment="1">
      <alignment horizontal="left" vertical="top"/>
    </xf>
    <xf numFmtId="0" fontId="2" fillId="0" borderId="1" xfId="0" applyFont="1" applyFill="1" applyBorder="1" applyAlignment="1">
      <alignment horizontal="left" vertical="top" wrapText="1"/>
    </xf>
    <xf numFmtId="0" fontId="2" fillId="0" borderId="1" xfId="2" applyFont="1" applyFill="1" applyBorder="1" applyAlignment="1">
      <alignment horizontal="left" vertical="top"/>
    </xf>
    <xf numFmtId="44" fontId="10" fillId="0" borderId="1" xfId="1" applyFont="1" applyFill="1" applyBorder="1" applyAlignment="1">
      <alignment horizontal="left" vertical="top"/>
    </xf>
    <xf numFmtId="0" fontId="12" fillId="0" borderId="1" xfId="0" applyFont="1" applyBorder="1" applyAlignment="1">
      <alignment horizontal="left" vertical="top"/>
    </xf>
    <xf numFmtId="0" fontId="13" fillId="0" borderId="1" xfId="0" applyFont="1" applyFill="1" applyBorder="1" applyAlignment="1">
      <alignment horizontal="left" vertical="top"/>
    </xf>
    <xf numFmtId="14" fontId="7" fillId="0" borderId="1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left" vertical="top"/>
    </xf>
    <xf numFmtId="14" fontId="3" fillId="0" borderId="1" xfId="0" applyNumberFormat="1" applyFont="1" applyFill="1" applyBorder="1" applyAlignment="1">
      <alignment horizontal="center"/>
    </xf>
    <xf numFmtId="0" fontId="0" fillId="0" borderId="1" xfId="0" applyFont="1" applyFill="1" applyBorder="1" applyAlignment="1">
      <alignment horizontal="left" vertical="top" wrapText="1"/>
    </xf>
    <xf numFmtId="0" fontId="1" fillId="0" borderId="1" xfId="2" applyFont="1" applyFill="1" applyBorder="1" applyAlignment="1">
      <alignment horizontal="left" vertical="top"/>
    </xf>
    <xf numFmtId="44" fontId="1" fillId="0" borderId="1" xfId="1" applyFont="1" applyFill="1" applyBorder="1" applyAlignment="1">
      <alignment horizontal="left" vertical="top"/>
    </xf>
    <xf numFmtId="14" fontId="0" fillId="0" borderId="1" xfId="0" applyNumberFormat="1" applyFill="1" applyBorder="1" applyAlignment="1">
      <alignment horizontal="center"/>
    </xf>
    <xf numFmtId="0" fontId="6" fillId="0" borderId="1" xfId="2" applyNumberFormat="1" applyFont="1" applyFill="1" applyBorder="1" applyAlignment="1">
      <alignment horizontal="left" vertical="top"/>
    </xf>
    <xf numFmtId="0" fontId="15" fillId="12" borderId="0" xfId="0" applyNumberFormat="1" applyFont="1" applyFill="1" applyBorder="1" applyAlignment="1">
      <alignment wrapText="1"/>
    </xf>
    <xf numFmtId="0" fontId="0" fillId="0" borderId="0" xfId="0" applyNumberFormat="1" applyFont="1" applyFill="1" applyBorder="1" applyAlignment="1">
      <alignment wrapText="1"/>
    </xf>
    <xf numFmtId="0" fontId="6" fillId="0" borderId="1" xfId="0" applyNumberFormat="1" applyFont="1" applyFill="1" applyBorder="1" applyAlignment="1">
      <alignment horizontal="center"/>
    </xf>
    <xf numFmtId="0" fontId="6" fillId="0" borderId="1" xfId="0" applyNumberFormat="1" applyFont="1" applyFill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center"/>
    </xf>
    <xf numFmtId="0" fontId="7" fillId="0" borderId="1" xfId="0" applyNumberFormat="1" applyFont="1" applyFill="1" applyBorder="1" applyAlignment="1">
      <alignment horizontal="center"/>
    </xf>
    <xf numFmtId="0" fontId="3" fillId="0" borderId="1" xfId="0" applyNumberFormat="1" applyFont="1" applyFill="1" applyBorder="1" applyAlignment="1">
      <alignment horizontal="center"/>
    </xf>
    <xf numFmtId="0" fontId="0" fillId="0" borderId="1" xfId="0" applyNumberFormat="1" applyFill="1" applyBorder="1" applyAlignment="1">
      <alignment horizontal="center"/>
    </xf>
    <xf numFmtId="0" fontId="14" fillId="13" borderId="1" xfId="0" applyNumberFormat="1" applyFont="1" applyFill="1" applyBorder="1" applyAlignment="1">
      <alignment horizontal="center" vertical="center" wrapText="1"/>
    </xf>
    <xf numFmtId="44" fontId="14" fillId="13" borderId="1" xfId="0" applyNumberFormat="1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top"/>
    </xf>
    <xf numFmtId="14" fontId="14" fillId="13" borderId="1" xfId="0" applyNumberFormat="1" applyFont="1" applyFill="1" applyBorder="1" applyAlignment="1">
      <alignment horizontal="center" vertical="center" wrapText="1"/>
    </xf>
    <xf numFmtId="14" fontId="6" fillId="0" borderId="0" xfId="0" applyNumberFormat="1" applyFont="1" applyAlignment="1">
      <alignment horizontal="center"/>
    </xf>
    <xf numFmtId="0" fontId="6" fillId="0" borderId="3" xfId="0" applyNumberFormat="1" applyFont="1" applyFill="1" applyBorder="1" applyAlignment="1">
      <alignment horizontal="center"/>
    </xf>
    <xf numFmtId="14" fontId="6" fillId="0" borderId="3" xfId="0" applyNumberFormat="1" applyFont="1" applyFill="1" applyBorder="1" applyAlignment="1">
      <alignment horizontal="center"/>
    </xf>
    <xf numFmtId="0" fontId="6" fillId="0" borderId="3" xfId="0" applyFont="1" applyFill="1" applyBorder="1" applyAlignment="1">
      <alignment horizontal="left" vertical="top" wrapText="1"/>
    </xf>
    <xf numFmtId="0" fontId="6" fillId="0" borderId="3" xfId="2" applyFont="1" applyFill="1" applyBorder="1" applyAlignment="1">
      <alignment horizontal="left" vertical="top"/>
    </xf>
    <xf numFmtId="0" fontId="6" fillId="0" borderId="3" xfId="0" applyFont="1" applyFill="1" applyBorder="1" applyAlignment="1">
      <alignment horizontal="left" vertical="top"/>
    </xf>
    <xf numFmtId="0" fontId="0" fillId="0" borderId="3" xfId="0" applyFont="1" applyFill="1" applyBorder="1" applyAlignment="1">
      <alignment horizontal="left" vertical="top"/>
    </xf>
    <xf numFmtId="44" fontId="1" fillId="0" borderId="3" xfId="1" applyFont="1" applyFill="1" applyBorder="1" applyAlignment="1">
      <alignment horizontal="left" vertical="top"/>
    </xf>
    <xf numFmtId="0" fontId="17" fillId="13" borderId="1" xfId="0" applyNumberFormat="1" applyFont="1" applyFill="1" applyBorder="1" applyAlignment="1">
      <alignment horizontal="center" vertical="center" wrapText="1"/>
    </xf>
    <xf numFmtId="0" fontId="18" fillId="0" borderId="1" xfId="0" applyNumberFormat="1" applyFont="1" applyFill="1" applyBorder="1" applyAlignment="1">
      <alignment horizontal="center"/>
    </xf>
    <xf numFmtId="0" fontId="18" fillId="0" borderId="1" xfId="0" applyFont="1" applyFill="1" applyBorder="1" applyAlignment="1">
      <alignment horizontal="left" vertical="top"/>
    </xf>
    <xf numFmtId="0" fontId="18" fillId="0" borderId="3" xfId="0" applyFont="1" applyFill="1" applyBorder="1" applyAlignment="1">
      <alignment horizontal="left" vertical="top"/>
    </xf>
    <xf numFmtId="0" fontId="19" fillId="0" borderId="1" xfId="0" applyFont="1" applyBorder="1"/>
    <xf numFmtId="0" fontId="18" fillId="0" borderId="1" xfId="0" applyFont="1" applyBorder="1" applyAlignment="1">
      <alignment horizontal="left"/>
    </xf>
    <xf numFmtId="0" fontId="6" fillId="0" borderId="1" xfId="0" applyNumberFormat="1" applyFont="1" applyBorder="1" applyAlignment="1">
      <alignment horizontal="left" vertical="top"/>
    </xf>
    <xf numFmtId="0" fontId="6" fillId="0" borderId="1" xfId="1" applyNumberFormat="1" applyFont="1" applyFill="1" applyBorder="1" applyAlignment="1">
      <alignment horizontal="left" vertical="top"/>
    </xf>
    <xf numFmtId="0" fontId="6" fillId="0" borderId="1" xfId="0" applyFont="1" applyBorder="1" applyAlignment="1">
      <alignment horizontal="left"/>
    </xf>
    <xf numFmtId="0" fontId="19" fillId="0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6" fillId="0" borderId="1" xfId="0" applyFont="1" applyBorder="1" applyAlignment="1">
      <alignment horizontal="left"/>
    </xf>
    <xf numFmtId="0" fontId="6" fillId="0" borderId="2" xfId="2" applyFont="1" applyFill="1" applyBorder="1" applyAlignment="1">
      <alignment horizontal="left" vertical="top"/>
    </xf>
    <xf numFmtId="0" fontId="21" fillId="0" borderId="1" xfId="0" applyFont="1" applyFill="1" applyBorder="1" applyAlignment="1">
      <alignment horizontal="left"/>
    </xf>
    <xf numFmtId="0" fontId="21" fillId="0" borderId="1" xfId="0" applyFont="1" applyFill="1" applyBorder="1" applyAlignment="1">
      <alignment horizontal="left" wrapText="1"/>
    </xf>
    <xf numFmtId="0" fontId="22" fillId="0" borderId="1" xfId="2" applyFont="1" applyFill="1" applyBorder="1" applyAlignment="1">
      <alignment horizontal="left" vertical="top"/>
    </xf>
    <xf numFmtId="0" fontId="22" fillId="0" borderId="1" xfId="0" applyFont="1" applyFill="1" applyBorder="1" applyAlignment="1">
      <alignment horizontal="left" vertical="top" wrapText="1"/>
    </xf>
    <xf numFmtId="0" fontId="21" fillId="0" borderId="1" xfId="0" applyFont="1" applyFill="1" applyBorder="1" applyAlignment="1">
      <alignment horizontal="left" vertical="top" wrapText="1"/>
    </xf>
    <xf numFmtId="44" fontId="17" fillId="13" borderId="1" xfId="0" applyNumberFormat="1" applyFont="1" applyFill="1" applyBorder="1" applyAlignment="1">
      <alignment horizontal="center" vertical="center" wrapText="1"/>
    </xf>
    <xf numFmtId="0" fontId="21" fillId="0" borderId="4" xfId="0" applyFont="1" applyFill="1" applyBorder="1" applyAlignment="1">
      <alignment horizontal="left"/>
    </xf>
    <xf numFmtId="0" fontId="24" fillId="0" borderId="5" xfId="0" applyNumberFormat="1" applyFont="1" applyFill="1" applyBorder="1" applyAlignment="1">
      <alignment horizontal="left" vertical="center" wrapText="1"/>
    </xf>
    <xf numFmtId="0" fontId="24" fillId="0" borderId="6" xfId="0" applyNumberFormat="1" applyFont="1" applyFill="1" applyBorder="1" applyAlignment="1">
      <alignment horizontal="left" vertical="center" wrapText="1"/>
    </xf>
    <xf numFmtId="49" fontId="24" fillId="0" borderId="6" xfId="0" applyNumberFormat="1" applyFont="1" applyFill="1" applyBorder="1" applyAlignment="1">
      <alignment horizontal="left" vertical="center" wrapText="1"/>
    </xf>
    <xf numFmtId="0" fontId="21" fillId="0" borderId="7" xfId="0" applyFont="1" applyFill="1" applyBorder="1" applyAlignment="1">
      <alignment horizontal="left"/>
    </xf>
    <xf numFmtId="0" fontId="22" fillId="0" borderId="3" xfId="0" applyFont="1" applyFill="1" applyBorder="1" applyAlignment="1">
      <alignment horizontal="left" vertical="top" wrapText="1"/>
    </xf>
    <xf numFmtId="0" fontId="21" fillId="0" borderId="3" xfId="0" applyFont="1" applyFill="1" applyBorder="1" applyAlignment="1">
      <alignment horizontal="left"/>
    </xf>
    <xf numFmtId="0" fontId="22" fillId="0" borderId="3" xfId="2" applyFont="1" applyFill="1" applyBorder="1" applyAlignment="1">
      <alignment horizontal="left" vertical="top"/>
    </xf>
    <xf numFmtId="0" fontId="23" fillId="0" borderId="1" xfId="0" applyFont="1" applyFill="1" applyBorder="1" applyAlignment="1">
      <alignment horizontal="left" vertical="top"/>
    </xf>
    <xf numFmtId="44" fontId="18" fillId="0" borderId="1" xfId="1" applyFont="1" applyFill="1" applyBorder="1" applyAlignment="1">
      <alignment horizontal="left" vertical="top"/>
    </xf>
    <xf numFmtId="14" fontId="18" fillId="0" borderId="1" xfId="0" applyNumberFormat="1" applyFont="1" applyFill="1" applyBorder="1" applyAlignment="1">
      <alignment horizontal="center"/>
    </xf>
    <xf numFmtId="44" fontId="20" fillId="0" borderId="1" xfId="1" applyFont="1" applyFill="1" applyBorder="1" applyAlignment="1">
      <alignment horizontal="left" vertical="top"/>
    </xf>
    <xf numFmtId="44" fontId="6" fillId="0" borderId="3" xfId="1" applyFont="1" applyFill="1" applyBorder="1" applyAlignment="1">
      <alignment horizontal="left" vertical="top"/>
    </xf>
    <xf numFmtId="44" fontId="20" fillId="0" borderId="3" xfId="1" applyFont="1" applyFill="1" applyBorder="1" applyAlignment="1">
      <alignment horizontal="left" vertical="top"/>
    </xf>
  </cellXfs>
  <cellStyles count="3">
    <cellStyle name="Hiperlink" xfId="2" xr:uid="{00000000-0005-0000-0000-000000000000}"/>
    <cellStyle name="Moeda" xfId="1" xr:uid="{00000000-0005-0000-0000-000001000000}"/>
    <cellStyle name="Normal" xfId="0" builtinId="0"/>
  </cellStyles>
  <dxfs count="22">
    <dxf>
      <font>
        <b/>
        <color rgb="FF991B1B"/>
      </font>
      <fill>
        <patternFill patternType="solid">
          <bgColor rgb="FFFECACA"/>
        </patternFill>
      </fill>
    </dxf>
    <dxf>
      <font>
        <b/>
        <color rgb="FF991B1B"/>
      </font>
      <fill>
        <patternFill patternType="solid">
          <bgColor rgb="FFFECACA"/>
        </patternFill>
      </fill>
    </dxf>
    <dxf>
      <font>
        <b/>
        <color rgb="FF991B1B"/>
      </font>
      <fill>
        <patternFill patternType="solid">
          <bgColor rgb="FFFECAC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'GRÁFICO VENDAS'!$B$1:$B$2</c:f>
              <c:strCache>
                <c:ptCount val="2"/>
                <c:pt idx="1">
                  <c:v>Row Labels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'GRÁFICO VENDAS'!$A$3:$A$7</c:f>
              <c:strCache>
                <c:ptCount val="5"/>
                <c:pt idx="1">
                  <c:v>Grand Total</c:v>
                </c:pt>
                <c:pt idx="2">
                  <c:v>JUL/JUL/AGO</c:v>
                </c:pt>
                <c:pt idx="3">
                  <c:v>SET/OUT/NOV</c:v>
                </c:pt>
                <c:pt idx="4">
                  <c:v>Total Geral</c:v>
                </c:pt>
              </c:strCache>
            </c:strRef>
          </c:cat>
          <c:val>
            <c:numRef>
              <c:f>'GRÁFICO VENDAS'!$B$3:$B$7</c:f>
              <c:numCache>
                <c:formatCode>General</c:formatCode>
                <c:ptCount val="5"/>
                <c:pt idx="0">
                  <c:v>832</c:v>
                </c:pt>
                <c:pt idx="1">
                  <c:v>832</c:v>
                </c:pt>
                <c:pt idx="2">
                  <c:v>38</c:v>
                </c:pt>
                <c:pt idx="3">
                  <c:v>54</c:v>
                </c:pt>
                <c:pt idx="4">
                  <c:v>124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6DEC-4A91-8217-01A7693688F3}"/>
            </c:ext>
          </c:extLst>
        </c:ser>
        <c:ser>
          <c:idx val="1"/>
          <c:order val="1"/>
          <c:tx>
            <c:strRef>
              <c:f>'GRÁFICO VENDAS'!$C$1:$C$2</c:f>
              <c:strCache>
                <c:ptCount val="2"/>
                <c:pt idx="0">
                  <c:v>Grand Total</c:v>
                </c:pt>
                <c:pt idx="1">
                  <c:v>Grand Total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'GRÁFICO VENDAS'!$A$3:$A$7</c:f>
              <c:strCache>
                <c:ptCount val="5"/>
                <c:pt idx="1">
                  <c:v>Grand Total</c:v>
                </c:pt>
                <c:pt idx="2">
                  <c:v>JUL/JUL/AGO</c:v>
                </c:pt>
                <c:pt idx="3">
                  <c:v>SET/OUT/NOV</c:v>
                </c:pt>
                <c:pt idx="4">
                  <c:v>Total Geral</c:v>
                </c:pt>
              </c:strCache>
            </c:strRef>
          </c:cat>
          <c:val>
            <c:numRef>
              <c:f>'GRÁFICO VENDAS'!$C$3:$C$7</c:f>
              <c:numCache>
                <c:formatCode>General</c:formatCode>
                <c:ptCount val="5"/>
                <c:pt idx="0">
                  <c:v>832</c:v>
                </c:pt>
                <c:pt idx="1">
                  <c:v>832</c:v>
                </c:pt>
                <c:pt idx="2">
                  <c:v>16</c:v>
                </c:pt>
                <c:pt idx="3">
                  <c:v>24</c:v>
                </c:pt>
                <c:pt idx="4">
                  <c:v>62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6DEC-4A91-8217-01A7693688F3}"/>
            </c:ext>
          </c:extLst>
        </c:ser>
        <c:ser>
          <c:idx val="2"/>
          <c:order val="2"/>
          <c:tx>
            <c:strRef>
              <c:f>'GRÁFICO VENDAS'!$D$1:$D$2</c:f>
              <c:strCache>
                <c:ptCount val="2"/>
                <c:pt idx="0">
                  <c:v>Grand Total</c:v>
                </c:pt>
                <c:pt idx="1">
                  <c:v>2026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'GRÁFICO VENDAS'!$A$3:$A$7</c:f>
              <c:strCache>
                <c:ptCount val="5"/>
                <c:pt idx="1">
                  <c:v>Grand Total</c:v>
                </c:pt>
                <c:pt idx="2">
                  <c:v>JUL/JUL/AGO</c:v>
                </c:pt>
                <c:pt idx="3">
                  <c:v>SET/OUT/NOV</c:v>
                </c:pt>
                <c:pt idx="4">
                  <c:v>Total Geral</c:v>
                </c:pt>
              </c:strCache>
            </c:strRef>
          </c:cat>
          <c:val>
            <c:numRef>
              <c:f>'GRÁFICO VENDAS'!$D$3:$D$7</c:f>
              <c:numCache>
                <c:formatCode>General</c:formatCode>
                <c:ptCount val="5"/>
                <c:pt idx="0">
                  <c:v>13</c:v>
                </c:pt>
                <c:pt idx="1">
                  <c:v>7</c:v>
                </c:pt>
                <c:pt idx="4">
                  <c:v>20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6DEC-4A91-8217-01A7693688F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525" cmpd="sng">
            <a:solidFill>
              <a:schemeClr val="tx1">
                <a:lumMod val="15000"/>
                <a:lumOff val="85000"/>
              </a:schemeClr>
            </a:solidFill>
          </a:ln>
        </c:spPr>
        <c:txPr>
          <a:bodyPr rot="-60000000" vert="horz" anchor="ctr" anchorCtr="1"/>
          <a:lstStyle/>
          <a:p>
            <a:pPr>
              <a:defRPr sz="900" b="0" i="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lt"/>
                <a:cs typeface="+mn-lt"/>
              </a:defRPr>
            </a:pPr>
            <a:endParaRPr lang="pt-BR"/>
          </a:p>
        </c:txPr>
        <c:crossAx val="48672768"/>
        <c:crosses val="autoZero"/>
        <c:auto val="1"/>
        <c:lblAlgn val="ctr"/>
        <c:lblOffset val="100"/>
        <c:noMultiLvlLbl val="0"/>
      </c:catAx>
      <c:valAx>
        <c:axId val="48672768"/>
        <c:scaling>
          <c:orientation val="minMax"/>
        </c:scaling>
        <c:delete val="0"/>
        <c:axPos val="l"/>
        <c:majorGridlines>
          <c:spPr>
            <a:ln w="9525" cmpd="sng">
              <a:solidFill>
                <a:schemeClr val="tx1">
                  <a:lumMod val="15000"/>
                  <a:lumOff val="85000"/>
                </a:schemeClr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 rot="-60000000" vert="horz" anchor="ctr" anchorCtr="1"/>
          <a:lstStyle/>
          <a:p>
            <a:pPr>
              <a:defRPr sz="900" b="0" i="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lt"/>
                <a:cs typeface="+mn-lt"/>
              </a:defRPr>
            </a:pPr>
            <a:endParaRPr lang="pt-BR"/>
          </a:p>
        </c:txPr>
        <c:crossAx val="48650112"/>
        <c:crosses val="autoZero"/>
        <c:crossBetween val="between"/>
      </c:valAx>
    </c:plotArea>
    <c:legend>
      <c:legendPos val="r"/>
      <c:overlay val="0"/>
      <c:spPr>
        <a:noFill/>
      </c:spPr>
      <c:txPr>
        <a:bodyPr rot="0" vert="horz" anchor="ctr" anchorCtr="1"/>
        <a:lstStyle/>
        <a:p>
          <a:pPr>
            <a:defRPr sz="2400" b="0" i="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lt"/>
              <a:cs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chemeClr val="bg1"/>
    </a:solidFill>
    <a:ln w="9525" cmpd="sng">
      <a:solidFill>
        <a:schemeClr val="tx1">
          <a:lumMod val="15000"/>
          <a:lumOff val="85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0</xdr:rowOff>
    </xdr:from>
    <xdr:to>
      <xdr:col>23</xdr:col>
      <xdr:colOff>381000</xdr:colOff>
      <xdr:row>33</xdr:row>
      <xdr:rowOff>76199</xdr:rowOff>
    </xdr:to>
    <xdr:graphicFrame macro="">
      <xdr:nvGraphicFramePr>
        <xdr:cNvPr id="2" name="Char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3448797-777B-4430-9268-108DA2C6F788}" name="Tabela1" displayName="Tabela1" ref="A1:H569" totalsRowShown="0" headerRowDxfId="21" dataDxfId="19" headerRowBorderDxfId="20" tableBorderDxfId="18" totalsRowBorderDxfId="17">
  <autoFilter ref="A1:H569" xr:uid="{4FC9D541-3B17-449F-9265-5ED3ACC47CE4}">
    <filterColumn colId="0">
      <filters>
        <filter val="386"/>
      </filters>
    </filterColumn>
  </autoFilter>
  <tableColumns count="8">
    <tableColumn id="1" xr3:uid="{A9B4F989-596B-43CE-B131-5FB2829E0E8F}" name="ID CADASTRO" dataDxfId="16"/>
    <tableColumn id="2" xr3:uid="{EFCD88A6-752F-480E-9C39-5E7397B1FE63}" name="Nome no WhatsApp" dataDxfId="15"/>
    <tableColumn id="3" xr3:uid="{D253B3EC-03B6-48A8-B64C-CE20E50DD49E}" name="Empresa" dataDxfId="14"/>
    <tableColumn id="4" xr3:uid="{263D2842-A7C1-4C9F-926E-792E895F0780}" name="Qtd_MAQ" dataDxfId="13">
      <calculatedColumnFormula>COUNTIFS(EQUIPAMENTOS!$A:$A,A2,EQUIPAMENTOS!$F:$F,"&lt;&gt;FLIPERAMA",EQUIPAMENTOS!$F:$F,"&lt;&gt;VERIFICAR")</calculatedColumnFormula>
    </tableColumn>
    <tableColumn id="5" xr3:uid="{D3DCD171-484B-4C1C-9467-870960923E54}" name="Telefone" dataDxfId="12" dataCellStyle="Hiperlink"/>
    <tableColumn id="6" xr3:uid="{F992121D-6293-42AC-BBB0-6BB0055F653B}" name="PACOTE" dataDxfId="11"/>
    <tableColumn id="7" xr3:uid="{D1CDBBF3-FC06-4F7F-9B66-378FA88B5034}" name="FALTA PACOTE" dataDxfId="10">
      <calculatedColumnFormula>VLOOKUP(F2,PACOTES!B:E,4,FALSE)</calculatedColumnFormula>
    </tableColumn>
    <tableColumn id="8" xr3:uid="{45A7E64A-E804-4D0C-B82B-8CADDA3474FE}" name="PLANO" dataDxfId="9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0000000}" name="Tabela11" displayName="Tabela11" ref="A1:P831">
  <autoFilter ref="A1:P831" xr:uid="{00000000-0009-0000-0100-00000B000000}"/>
  <sortState ref="A2:P830">
    <sortCondition ref="B2:B830"/>
  </sortState>
  <tableColumns count="16">
    <tableColumn id="1" xr3:uid="{00000000-0010-0000-0000-000001000000}" name="ID CADASTRO"/>
    <tableColumn id="8" xr3:uid="{00000000-0010-0000-0000-000008000000}" name="DATA COMPRA" dataDxfId="8"/>
    <tableColumn id="3" xr3:uid="{00000000-0010-0000-0000-000003000000}" name="PREVISÃO DE ENTREGA"/>
    <tableColumn id="4" xr3:uid="{00000000-0010-0000-0000-000004000000}" name="CLIENTE"/>
    <tableColumn id="5" xr3:uid="{00000000-0010-0000-0000-000005000000}" name="TELEFONE"/>
    <tableColumn id="6" xr3:uid="{00000000-0010-0000-0000-000006000000}" name="TIPO"/>
    <tableColumn id="7" xr3:uid="{00000000-0010-0000-0000-000007000000}" name="MODELO"/>
    <tableColumn id="11" xr3:uid="{00000000-0010-0000-0000-00000B000000}" name="PACOTE"/>
    <tableColumn id="12" xr3:uid="{00000000-0010-0000-0000-00000C000000}" name="PACOTE FALTA">
      <calculatedColumnFormula>VLOOKUP(H2,PACOTES!B:E,4,FALSE)</calculatedColumnFormula>
    </tableColumn>
    <tableColumn id="19" xr3:uid="{2F9AB653-7C69-48C0-87FA-85A2CE4A1B33}" name="PLANO" dataDxfId="7"/>
    <tableColumn id="14" xr3:uid="{00000000-0010-0000-0000-00000E000000}" name="VALOR"/>
    <tableColumn id="15" xr3:uid="{00000000-0010-0000-0000-00000F000000}" name="PAGO"/>
    <tableColumn id="18" xr3:uid="{A8431E6D-4D94-4930-BB7E-D8197F4B2C51}" name="FALTA" dataDxfId="6" dataCellStyle="Moeda"/>
    <tableColumn id="17" xr3:uid="{9ACEA6E0-4CC2-4B4A-907A-EA7A14E11150}" name="MAQUINA" dataDxfId="5" dataCellStyle="Moeda"/>
    <tableColumn id="13" xr3:uid="{9C97A8A3-AFBF-4F7A-8E1E-9C4646091D25}" name="REDE INSTALADA" dataDxfId="4" dataCellStyle="Moeda"/>
    <tableColumn id="9" xr3:uid="{A4E05ED7-4950-4FFE-82E8-86EC2075F5D8}" name="ANYDESK" dataDxfId="3" dataCellStyle="Moeda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6350">
          <a:solidFill>
            <a:schemeClr val="phClr"/>
          </a:solidFill>
          <a:prstDash val="solid"/>
        </a:ln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BBBF1-2B2C-4C19-BF82-257E38200B4A}">
  <dimension ref="A1:E13"/>
  <sheetViews>
    <sheetView workbookViewId="0">
      <selection activeCell="D38" sqref="D38"/>
    </sheetView>
  </sheetViews>
  <sheetFormatPr defaultRowHeight="15"/>
  <cols>
    <col min="5" max="5" width="9.140625" style="86"/>
  </cols>
  <sheetData>
    <row r="1" spans="1:5">
      <c r="A1" s="79" t="s">
        <v>2227</v>
      </c>
      <c r="B1" s="79" t="s">
        <v>2228</v>
      </c>
      <c r="C1" s="79" t="s">
        <v>2229</v>
      </c>
      <c r="D1" s="79" t="s">
        <v>2230</v>
      </c>
      <c r="E1" s="84" t="s">
        <v>1179</v>
      </c>
    </row>
    <row r="2" spans="1:5">
      <c r="A2" s="65">
        <v>1</v>
      </c>
      <c r="B2" s="80" t="s">
        <v>2215</v>
      </c>
      <c r="C2" s="81">
        <v>1</v>
      </c>
      <c r="D2" s="82">
        <v>5</v>
      </c>
      <c r="E2" s="85">
        <f t="shared" ref="E2:E13" si="0">MAX($A:$A)-A2</f>
        <v>11</v>
      </c>
    </row>
    <row r="3" spans="1:5">
      <c r="A3" s="65">
        <v>2</v>
      </c>
      <c r="B3" s="80" t="s">
        <v>2216</v>
      </c>
      <c r="C3" s="81">
        <v>6</v>
      </c>
      <c r="D3" s="82">
        <v>10</v>
      </c>
      <c r="E3" s="85">
        <f t="shared" si="0"/>
        <v>10</v>
      </c>
    </row>
    <row r="4" spans="1:5">
      <c r="A4" s="65">
        <v>3</v>
      </c>
      <c r="B4" s="80" t="s">
        <v>2217</v>
      </c>
      <c r="C4" s="81">
        <v>11</v>
      </c>
      <c r="D4" s="81">
        <v>29</v>
      </c>
      <c r="E4" s="85">
        <f t="shared" si="0"/>
        <v>9</v>
      </c>
    </row>
    <row r="5" spans="1:5">
      <c r="A5" s="65">
        <v>4</v>
      </c>
      <c r="B5" s="80" t="s">
        <v>2218</v>
      </c>
      <c r="C5" s="81">
        <v>30</v>
      </c>
      <c r="D5" s="81">
        <v>39</v>
      </c>
      <c r="E5" s="85">
        <f t="shared" si="0"/>
        <v>8</v>
      </c>
    </row>
    <row r="6" spans="1:5">
      <c r="A6" s="65">
        <v>5</v>
      </c>
      <c r="B6" s="80" t="s">
        <v>2219</v>
      </c>
      <c r="C6" s="81">
        <v>40</v>
      </c>
      <c r="D6" s="81">
        <v>49</v>
      </c>
      <c r="E6" s="85">
        <f t="shared" si="0"/>
        <v>7</v>
      </c>
    </row>
    <row r="7" spans="1:5">
      <c r="A7" s="65">
        <v>6</v>
      </c>
      <c r="B7" s="80" t="s">
        <v>2220</v>
      </c>
      <c r="C7" s="81">
        <v>50</v>
      </c>
      <c r="D7" s="81">
        <v>59</v>
      </c>
      <c r="E7" s="85">
        <f t="shared" si="0"/>
        <v>6</v>
      </c>
    </row>
    <row r="8" spans="1:5">
      <c r="A8" s="65">
        <v>7</v>
      </c>
      <c r="B8" s="80" t="s">
        <v>2221</v>
      </c>
      <c r="C8" s="81">
        <v>60</v>
      </c>
      <c r="D8" s="81">
        <v>68</v>
      </c>
      <c r="E8" s="85">
        <f t="shared" si="0"/>
        <v>5</v>
      </c>
    </row>
    <row r="9" spans="1:5">
      <c r="A9" s="65">
        <v>8</v>
      </c>
      <c r="B9" s="80" t="s">
        <v>2222</v>
      </c>
      <c r="C9" s="81">
        <v>69</v>
      </c>
      <c r="D9" s="81">
        <v>75</v>
      </c>
      <c r="E9" s="85">
        <f t="shared" si="0"/>
        <v>4</v>
      </c>
    </row>
    <row r="10" spans="1:5">
      <c r="A10" s="65">
        <v>9</v>
      </c>
      <c r="B10" s="80" t="s">
        <v>2223</v>
      </c>
      <c r="C10" s="65">
        <v>76</v>
      </c>
      <c r="D10" s="65">
        <v>80</v>
      </c>
      <c r="E10" s="85">
        <f t="shared" si="0"/>
        <v>3</v>
      </c>
    </row>
    <row r="11" spans="1:5">
      <c r="A11" s="65">
        <v>10</v>
      </c>
      <c r="B11" s="80" t="s">
        <v>2224</v>
      </c>
      <c r="C11" s="65">
        <v>80</v>
      </c>
      <c r="D11" s="65">
        <v>89</v>
      </c>
      <c r="E11" s="85">
        <f t="shared" si="0"/>
        <v>2</v>
      </c>
    </row>
    <row r="12" spans="1:5">
      <c r="A12" s="65">
        <v>11</v>
      </c>
      <c r="B12" s="80" t="s">
        <v>2225</v>
      </c>
      <c r="C12" s="83">
        <v>90</v>
      </c>
      <c r="D12" s="83">
        <v>107</v>
      </c>
      <c r="E12" s="85">
        <f t="shared" si="0"/>
        <v>1</v>
      </c>
    </row>
    <row r="13" spans="1:5">
      <c r="A13" s="65">
        <v>12</v>
      </c>
      <c r="B13" s="80" t="s">
        <v>2226</v>
      </c>
      <c r="C13" s="83">
        <v>108</v>
      </c>
      <c r="D13" s="83">
        <v>118</v>
      </c>
      <c r="E13" s="85">
        <f t="shared" si="0"/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569"/>
  <sheetViews>
    <sheetView workbookViewId="0">
      <selection activeCell="A386" sqref="A386"/>
    </sheetView>
  </sheetViews>
  <sheetFormatPr defaultRowHeight="15"/>
  <cols>
    <col min="1" max="1" width="16.28515625" style="14" customWidth="1"/>
    <col min="2" max="2" width="46.5703125" style="14" bestFit="1" customWidth="1"/>
    <col min="3" max="3" width="11.42578125" style="14" customWidth="1"/>
    <col min="4" max="4" width="13" style="14" customWidth="1"/>
    <col min="5" max="5" width="16" style="14" customWidth="1"/>
    <col min="6" max="6" width="13.42578125" style="14" customWidth="1"/>
    <col min="7" max="7" width="17.42578125" style="14" customWidth="1"/>
    <col min="8" max="8" width="10" style="14" customWidth="1"/>
  </cols>
  <sheetData>
    <row r="1" spans="1:8" ht="15.75">
      <c r="A1" s="96" t="s">
        <v>44</v>
      </c>
      <c r="B1" s="97" t="s">
        <v>2235</v>
      </c>
      <c r="C1" s="97" t="s">
        <v>45</v>
      </c>
      <c r="D1" s="97" t="s">
        <v>46</v>
      </c>
      <c r="E1" s="98" t="s">
        <v>47</v>
      </c>
      <c r="F1" s="97" t="s">
        <v>2228</v>
      </c>
      <c r="G1" s="97" t="s">
        <v>2232</v>
      </c>
      <c r="H1" s="97" t="s">
        <v>48</v>
      </c>
    </row>
    <row r="2" spans="1:8" ht="15.75" hidden="1">
      <c r="A2" s="95">
        <v>1</v>
      </c>
      <c r="B2" s="89" t="s">
        <v>50</v>
      </c>
      <c r="C2" s="90"/>
      <c r="D2" s="89">
        <f>COUNTIFS(EQUIPAMENTOS!$A:$A,A2,EQUIPAMENTOS!$F:$F,"&lt;&gt;FLIPERAMA",EQUIPAMENTOS!$F:$F,"&lt;&gt;VERIFICAR")</f>
        <v>1</v>
      </c>
      <c r="E2" s="89">
        <v>21959570328</v>
      </c>
      <c r="F2" s="89" t="s">
        <v>2220</v>
      </c>
      <c r="G2" s="89">
        <f>VLOOKUP(F2,PACOTES!B:E,4,FALSE)</f>
        <v>6</v>
      </c>
      <c r="H2" s="89"/>
    </row>
    <row r="3" spans="1:8" ht="15.75" hidden="1">
      <c r="A3" s="95">
        <v>2</v>
      </c>
      <c r="B3" s="89" t="s">
        <v>51</v>
      </c>
      <c r="C3" s="90"/>
      <c r="D3" s="89">
        <f>COUNTIFS(EQUIPAMENTOS!$A:$A,A3,EQUIPAMENTOS!$F:$F,"&lt;&gt;FLIPERAMA",EQUIPAMENTOS!$F:$F,"&lt;&gt;VERIFICAR")</f>
        <v>1</v>
      </c>
      <c r="E3" s="89" t="s">
        <v>52</v>
      </c>
      <c r="F3" s="89" t="s">
        <v>2220</v>
      </c>
      <c r="G3" s="89">
        <f>VLOOKUP(F3,PACOTES!B:E,4,FALSE)</f>
        <v>6</v>
      </c>
      <c r="H3" s="89"/>
    </row>
    <row r="4" spans="1:8" ht="15.75" hidden="1">
      <c r="A4" s="95">
        <v>3</v>
      </c>
      <c r="B4" s="89" t="s">
        <v>53</v>
      </c>
      <c r="C4" s="90"/>
      <c r="D4" s="89">
        <f>COUNTIFS(EQUIPAMENTOS!$A:$A,A4,EQUIPAMENTOS!$F:$F,"&lt;&gt;FLIPERAMA",EQUIPAMENTOS!$F:$F,"&lt;&gt;VERIFICAR")</f>
        <v>1</v>
      </c>
      <c r="E4" s="89" t="s">
        <v>54</v>
      </c>
      <c r="F4" s="89" t="s">
        <v>2225</v>
      </c>
      <c r="G4" s="89">
        <f>VLOOKUP(F4,PACOTES!B:E,4,FALSE)</f>
        <v>1</v>
      </c>
      <c r="H4" s="89"/>
    </row>
    <row r="5" spans="1:8" ht="15.75" hidden="1">
      <c r="A5" s="95">
        <v>4</v>
      </c>
      <c r="B5" s="89" t="s">
        <v>55</v>
      </c>
      <c r="C5" s="90"/>
      <c r="D5" s="89">
        <f>COUNTIFS(EQUIPAMENTOS!$A:$A,A5,EQUIPAMENTOS!$F:$F,"&lt;&gt;FLIPERAMA",EQUIPAMENTOS!$F:$F,"&lt;&gt;VERIFICAR")</f>
        <v>1</v>
      </c>
      <c r="E5" s="89" t="s">
        <v>56</v>
      </c>
      <c r="F5" s="89" t="s">
        <v>2218</v>
      </c>
      <c r="G5" s="89">
        <f>VLOOKUP(F5,PACOTES!B:E,4,FALSE)</f>
        <v>8</v>
      </c>
      <c r="H5" s="89"/>
    </row>
    <row r="6" spans="1:8" ht="15.75" hidden="1">
      <c r="A6" s="95">
        <v>5</v>
      </c>
      <c r="B6" s="89" t="s">
        <v>57</v>
      </c>
      <c r="C6" s="90"/>
      <c r="D6" s="89">
        <f>COUNTIFS(EQUIPAMENTOS!$A:$A,A6,EQUIPAMENTOS!$F:$F,"&lt;&gt;FLIPERAMA",EQUIPAMENTOS!$F:$F,"&lt;&gt;VERIFICAR")</f>
        <v>1</v>
      </c>
      <c r="E6" s="89" t="s">
        <v>58</v>
      </c>
      <c r="F6" s="89" t="s">
        <v>2221</v>
      </c>
      <c r="G6" s="89">
        <f>VLOOKUP(F6,PACOTES!B:E,4,FALSE)</f>
        <v>5</v>
      </c>
      <c r="H6" s="89"/>
    </row>
    <row r="7" spans="1:8" ht="15.75" hidden="1">
      <c r="A7" s="95">
        <v>6</v>
      </c>
      <c r="B7" s="89" t="s">
        <v>59</v>
      </c>
      <c r="C7" s="90"/>
      <c r="D7" s="89">
        <f>COUNTIFS(EQUIPAMENTOS!$A:$A,A7,EQUIPAMENTOS!$F:$F,"&lt;&gt;FLIPERAMA",EQUIPAMENTOS!$F:$F,"&lt;&gt;VERIFICAR")</f>
        <v>1</v>
      </c>
      <c r="E7" s="89" t="s">
        <v>60</v>
      </c>
      <c r="F7" s="89" t="s">
        <v>2220</v>
      </c>
      <c r="G7" s="89">
        <f>VLOOKUP(F7,PACOTES!B:E,4,FALSE)</f>
        <v>6</v>
      </c>
      <c r="H7" s="89"/>
    </row>
    <row r="8" spans="1:8" ht="15.75" hidden="1">
      <c r="A8" s="95">
        <v>7</v>
      </c>
      <c r="B8" s="89" t="s">
        <v>61</v>
      </c>
      <c r="C8" s="90"/>
      <c r="D8" s="89">
        <f>COUNTIFS(EQUIPAMENTOS!$A:$A,A8,EQUIPAMENTOS!$F:$F,"&lt;&gt;FLIPERAMA",EQUIPAMENTOS!$F:$F,"&lt;&gt;VERIFICAR")</f>
        <v>1</v>
      </c>
      <c r="E8" s="89" t="s">
        <v>62</v>
      </c>
      <c r="F8" s="89" t="s">
        <v>2218</v>
      </c>
      <c r="G8" s="89">
        <f>VLOOKUP(F8,PACOTES!B:E,4,FALSE)</f>
        <v>8</v>
      </c>
      <c r="H8" s="89"/>
    </row>
    <row r="9" spans="1:8" ht="15.75" hidden="1">
      <c r="A9" s="95">
        <v>8</v>
      </c>
      <c r="B9" s="89" t="s">
        <v>63</v>
      </c>
      <c r="C9" s="90"/>
      <c r="D9" s="89">
        <f>COUNTIFS(EQUIPAMENTOS!$A:$A,A9,EQUIPAMENTOS!$F:$F,"&lt;&gt;FLIPERAMA",EQUIPAMENTOS!$F:$F,"&lt;&gt;VERIFICAR")</f>
        <v>1</v>
      </c>
      <c r="E9" s="89" t="s">
        <v>64</v>
      </c>
      <c r="F9" s="89" t="s">
        <v>2224</v>
      </c>
      <c r="G9" s="89">
        <f>VLOOKUP(F9,PACOTES!B:E,4,FALSE)</f>
        <v>2</v>
      </c>
      <c r="H9" s="89"/>
    </row>
    <row r="10" spans="1:8" ht="15.75" hidden="1">
      <c r="A10" s="95">
        <v>9</v>
      </c>
      <c r="B10" s="89" t="s">
        <v>65</v>
      </c>
      <c r="C10" s="90"/>
      <c r="D10" s="89">
        <f>COUNTIFS(EQUIPAMENTOS!$A:$A,A10,EQUIPAMENTOS!$F:$F,"&lt;&gt;FLIPERAMA",EQUIPAMENTOS!$F:$F,"&lt;&gt;VERIFICAR")</f>
        <v>2</v>
      </c>
      <c r="E10" s="89" t="s">
        <v>66</v>
      </c>
      <c r="F10" s="89" t="s">
        <v>2220</v>
      </c>
      <c r="G10" s="89">
        <f>VLOOKUP(F10,PACOTES!B:E,4,FALSE)</f>
        <v>6</v>
      </c>
      <c r="H10" s="89"/>
    </row>
    <row r="11" spans="1:8" ht="15.75" hidden="1">
      <c r="A11" s="95">
        <v>10</v>
      </c>
      <c r="B11" s="89" t="s">
        <v>67</v>
      </c>
      <c r="C11" s="90"/>
      <c r="D11" s="89">
        <f>COUNTIFS(EQUIPAMENTOS!$A:$A,A11,EQUIPAMENTOS!$F:$F,"&lt;&gt;FLIPERAMA",EQUIPAMENTOS!$F:$F,"&lt;&gt;VERIFICAR")</f>
        <v>1</v>
      </c>
      <c r="E11" s="89" t="s">
        <v>68</v>
      </c>
      <c r="F11" s="89" t="s">
        <v>2220</v>
      </c>
      <c r="G11" s="89">
        <f>VLOOKUP(F11,PACOTES!B:E,4,FALSE)</f>
        <v>6</v>
      </c>
      <c r="H11" s="89"/>
    </row>
    <row r="12" spans="1:8" ht="15.75" hidden="1">
      <c r="A12" s="95">
        <v>11</v>
      </c>
      <c r="B12" s="89" t="s">
        <v>69</v>
      </c>
      <c r="C12" s="90"/>
      <c r="D12" s="89">
        <f>COUNTIFS(EQUIPAMENTOS!$A:$A,A12,EQUIPAMENTOS!$F:$F,"&lt;&gt;FLIPERAMA",EQUIPAMENTOS!$F:$F,"&lt;&gt;VERIFICAR")</f>
        <v>1</v>
      </c>
      <c r="E12" s="89" t="s">
        <v>70</v>
      </c>
      <c r="F12" s="89" t="s">
        <v>2218</v>
      </c>
      <c r="G12" s="89">
        <f>VLOOKUP(F12,PACOTES!B:E,4,FALSE)</f>
        <v>8</v>
      </c>
      <c r="H12" s="89"/>
    </row>
    <row r="13" spans="1:8" ht="15.75" hidden="1">
      <c r="A13" s="95">
        <v>12</v>
      </c>
      <c r="B13" s="89" t="s">
        <v>71</v>
      </c>
      <c r="C13" s="90"/>
      <c r="D13" s="89">
        <f>COUNTIFS(EQUIPAMENTOS!$A:$A,A13,EQUIPAMENTOS!$F:$F,"&lt;&gt;FLIPERAMA",EQUIPAMENTOS!$F:$F,"&lt;&gt;VERIFICAR")</f>
        <v>1</v>
      </c>
      <c r="E13" s="89" t="s">
        <v>72</v>
      </c>
      <c r="F13" s="89" t="s">
        <v>2221</v>
      </c>
      <c r="G13" s="89">
        <f>VLOOKUP(F13,PACOTES!B:E,4,FALSE)</f>
        <v>5</v>
      </c>
      <c r="H13" s="89"/>
    </row>
    <row r="14" spans="1:8" ht="15.75" hidden="1">
      <c r="A14" s="95">
        <v>13</v>
      </c>
      <c r="B14" s="89" t="s">
        <v>73</v>
      </c>
      <c r="C14" s="90"/>
      <c r="D14" s="89">
        <f>COUNTIFS(EQUIPAMENTOS!$A:$A,A14,EQUIPAMENTOS!$F:$F,"&lt;&gt;FLIPERAMA",EQUIPAMENTOS!$F:$F,"&lt;&gt;VERIFICAR")</f>
        <v>2</v>
      </c>
      <c r="E14" s="89" t="s">
        <v>74</v>
      </c>
      <c r="F14" s="89" t="s">
        <v>2222</v>
      </c>
      <c r="G14" s="89">
        <f>VLOOKUP(F14,PACOTES!B:E,4,FALSE)</f>
        <v>4</v>
      </c>
      <c r="H14" s="89"/>
    </row>
    <row r="15" spans="1:8" ht="15.75" hidden="1">
      <c r="A15" s="95">
        <v>14</v>
      </c>
      <c r="B15" s="89" t="s">
        <v>75</v>
      </c>
      <c r="C15" s="90"/>
      <c r="D15" s="89">
        <f>COUNTIFS(EQUIPAMENTOS!$A:$A,A15,EQUIPAMENTOS!$F:$F,"&lt;&gt;FLIPERAMA",EQUIPAMENTOS!$F:$F,"&lt;&gt;VERIFICAR")</f>
        <v>1</v>
      </c>
      <c r="E15" s="89" t="s">
        <v>76</v>
      </c>
      <c r="F15" s="89" t="s">
        <v>2220</v>
      </c>
      <c r="G15" s="89">
        <f>VLOOKUP(F15,PACOTES!B:E,4,FALSE)</f>
        <v>6</v>
      </c>
      <c r="H15" s="89"/>
    </row>
    <row r="16" spans="1:8" ht="15.75" hidden="1">
      <c r="A16" s="95">
        <v>15</v>
      </c>
      <c r="B16" s="89" t="s">
        <v>77</v>
      </c>
      <c r="C16" s="90"/>
      <c r="D16" s="89">
        <f>COUNTIFS(EQUIPAMENTOS!$A:$A,A16,EQUIPAMENTOS!$F:$F,"&lt;&gt;FLIPERAMA",EQUIPAMENTOS!$F:$F,"&lt;&gt;VERIFICAR")</f>
        <v>1</v>
      </c>
      <c r="E16" s="89" t="s">
        <v>78</v>
      </c>
      <c r="F16" s="89" t="s">
        <v>2221</v>
      </c>
      <c r="G16" s="89">
        <f>VLOOKUP(F16,PACOTES!B:E,4,FALSE)</f>
        <v>5</v>
      </c>
      <c r="H16" s="89"/>
    </row>
    <row r="17" spans="1:8" ht="15.75" hidden="1">
      <c r="A17" s="95">
        <v>16</v>
      </c>
      <c r="B17" s="89" t="s">
        <v>79</v>
      </c>
      <c r="C17" s="90"/>
      <c r="D17" s="89">
        <f>COUNTIFS(EQUIPAMENTOS!$A:$A,A17,EQUIPAMENTOS!$F:$F,"&lt;&gt;FLIPERAMA",EQUIPAMENTOS!$F:$F,"&lt;&gt;VERIFICAR")</f>
        <v>1</v>
      </c>
      <c r="E17" s="89" t="s">
        <v>80</v>
      </c>
      <c r="F17" s="89" t="s">
        <v>2221</v>
      </c>
      <c r="G17" s="89">
        <f>VLOOKUP(F17,PACOTES!B:E,4,FALSE)</f>
        <v>5</v>
      </c>
      <c r="H17" s="89"/>
    </row>
    <row r="18" spans="1:8" ht="15.75" hidden="1">
      <c r="A18" s="95">
        <v>17</v>
      </c>
      <c r="B18" s="89" t="s">
        <v>81</v>
      </c>
      <c r="C18" s="90"/>
      <c r="D18" s="89">
        <f>COUNTIFS(EQUIPAMENTOS!$A:$A,A18,EQUIPAMENTOS!$F:$F,"&lt;&gt;FLIPERAMA",EQUIPAMENTOS!$F:$F,"&lt;&gt;VERIFICAR")</f>
        <v>1</v>
      </c>
      <c r="E18" s="89" t="s">
        <v>82</v>
      </c>
      <c r="F18" s="89" t="s">
        <v>2225</v>
      </c>
      <c r="G18" s="89">
        <f>VLOOKUP(F18,PACOTES!B:E,4,FALSE)</f>
        <v>1</v>
      </c>
      <c r="H18" s="89"/>
    </row>
    <row r="19" spans="1:8" ht="15.75" hidden="1">
      <c r="A19" s="95">
        <v>18</v>
      </c>
      <c r="B19" s="89" t="s">
        <v>83</v>
      </c>
      <c r="C19" s="90"/>
      <c r="D19" s="89">
        <f>COUNTIFS(EQUIPAMENTOS!$A:$A,A19,EQUIPAMENTOS!$F:$F,"&lt;&gt;FLIPERAMA",EQUIPAMENTOS!$F:$F,"&lt;&gt;VERIFICAR")</f>
        <v>2</v>
      </c>
      <c r="E19" s="89" t="s">
        <v>84</v>
      </c>
      <c r="F19" s="89" t="s">
        <v>2217</v>
      </c>
      <c r="G19" s="89">
        <f>VLOOKUP(F19,PACOTES!B:E,4,FALSE)</f>
        <v>9</v>
      </c>
      <c r="H19" s="89"/>
    </row>
    <row r="20" spans="1:8" ht="15.75" hidden="1">
      <c r="A20" s="95">
        <v>19</v>
      </c>
      <c r="B20" s="89" t="s">
        <v>85</v>
      </c>
      <c r="C20" s="90"/>
      <c r="D20" s="89">
        <f>COUNTIFS(EQUIPAMENTOS!$A:$A,A20,EQUIPAMENTOS!$F:$F,"&lt;&gt;FLIPERAMA",EQUIPAMENTOS!$F:$F,"&lt;&gt;VERIFICAR")</f>
        <v>1</v>
      </c>
      <c r="E20" s="89" t="s">
        <v>86</v>
      </c>
      <c r="F20" s="89" t="s">
        <v>2216</v>
      </c>
      <c r="G20" s="89">
        <f>VLOOKUP(F20,PACOTES!B:E,4,FALSE)</f>
        <v>10</v>
      </c>
      <c r="H20" s="89"/>
    </row>
    <row r="21" spans="1:8" ht="15.75" hidden="1">
      <c r="A21" s="95">
        <v>20</v>
      </c>
      <c r="B21" s="89" t="s">
        <v>87</v>
      </c>
      <c r="C21" s="90"/>
      <c r="D21" s="89">
        <f>COUNTIFS(EQUIPAMENTOS!$A:$A,A21,EQUIPAMENTOS!$F:$F,"&lt;&gt;FLIPERAMA",EQUIPAMENTOS!$F:$F,"&lt;&gt;VERIFICAR")</f>
        <v>1</v>
      </c>
      <c r="E21" s="89" t="s">
        <v>88</v>
      </c>
      <c r="F21" s="89" t="s">
        <v>2223</v>
      </c>
      <c r="G21" s="89">
        <f>VLOOKUP(F21,PACOTES!B:E,4,FALSE)</f>
        <v>3</v>
      </c>
      <c r="H21" s="89"/>
    </row>
    <row r="22" spans="1:8" ht="15.75" hidden="1">
      <c r="A22" s="95">
        <v>21</v>
      </c>
      <c r="B22" s="89" t="s">
        <v>89</v>
      </c>
      <c r="C22" s="90"/>
      <c r="D22" s="89">
        <f>COUNTIFS(EQUIPAMENTOS!$A:$A,A22,EQUIPAMENTOS!$F:$F,"&lt;&gt;FLIPERAMA",EQUIPAMENTOS!$F:$F,"&lt;&gt;VERIFICAR")</f>
        <v>1</v>
      </c>
      <c r="E22" s="89" t="s">
        <v>90</v>
      </c>
      <c r="F22" s="89" t="s">
        <v>2224</v>
      </c>
      <c r="G22" s="89">
        <f>VLOOKUP(F22,PACOTES!B:E,4,FALSE)</f>
        <v>2</v>
      </c>
      <c r="H22" s="89"/>
    </row>
    <row r="23" spans="1:8" ht="15.75" hidden="1">
      <c r="A23" s="95">
        <v>22</v>
      </c>
      <c r="B23" s="89" t="s">
        <v>91</v>
      </c>
      <c r="C23" s="90"/>
      <c r="D23" s="89">
        <f>COUNTIFS(EQUIPAMENTOS!$A:$A,A23,EQUIPAMENTOS!$F:$F,"&lt;&gt;FLIPERAMA",EQUIPAMENTOS!$F:$F,"&lt;&gt;VERIFICAR")</f>
        <v>1</v>
      </c>
      <c r="E23" s="89" t="s">
        <v>92</v>
      </c>
      <c r="F23" s="89" t="s">
        <v>2222</v>
      </c>
      <c r="G23" s="89">
        <f>VLOOKUP(F23,PACOTES!B:E,4,FALSE)</f>
        <v>4</v>
      </c>
      <c r="H23" s="89"/>
    </row>
    <row r="24" spans="1:8" ht="15.75" hidden="1">
      <c r="A24" s="95">
        <v>23</v>
      </c>
      <c r="B24" s="89" t="s">
        <v>93</v>
      </c>
      <c r="C24" s="90"/>
      <c r="D24" s="89">
        <f>COUNTIFS(EQUIPAMENTOS!$A:$A,A24,EQUIPAMENTOS!$F:$F,"&lt;&gt;FLIPERAMA",EQUIPAMENTOS!$F:$F,"&lt;&gt;VERIFICAR")</f>
        <v>1</v>
      </c>
      <c r="E24" s="89" t="s">
        <v>94</v>
      </c>
      <c r="F24" s="89" t="s">
        <v>2216</v>
      </c>
      <c r="G24" s="89">
        <f>VLOOKUP(F24,PACOTES!B:E,4,FALSE)</f>
        <v>10</v>
      </c>
      <c r="H24" s="89"/>
    </row>
    <row r="25" spans="1:8" ht="15.75" hidden="1">
      <c r="A25" s="95">
        <v>24</v>
      </c>
      <c r="B25" s="89" t="s">
        <v>95</v>
      </c>
      <c r="C25" s="90"/>
      <c r="D25" s="89">
        <f>COUNTIFS(EQUIPAMENTOS!$A:$A,A25,EQUIPAMENTOS!$F:$F,"&lt;&gt;FLIPERAMA",EQUIPAMENTOS!$F:$F,"&lt;&gt;VERIFICAR")</f>
        <v>1</v>
      </c>
      <c r="E25" s="89" t="s">
        <v>96</v>
      </c>
      <c r="F25" s="89" t="s">
        <v>2225</v>
      </c>
      <c r="G25" s="89">
        <f>VLOOKUP(F25,PACOTES!B:E,4,FALSE)</f>
        <v>1</v>
      </c>
      <c r="H25" s="89"/>
    </row>
    <row r="26" spans="1:8" ht="15.75" hidden="1">
      <c r="A26" s="95">
        <v>25</v>
      </c>
      <c r="B26" s="89" t="s">
        <v>97</v>
      </c>
      <c r="C26" s="90"/>
      <c r="D26" s="89">
        <f>COUNTIFS(EQUIPAMENTOS!$A:$A,A26,EQUIPAMENTOS!$F:$F,"&lt;&gt;FLIPERAMA",EQUIPAMENTOS!$F:$F,"&lt;&gt;VERIFICAR")</f>
        <v>1</v>
      </c>
      <c r="E26" s="89" t="s">
        <v>98</v>
      </c>
      <c r="F26" s="89" t="s">
        <v>2221</v>
      </c>
      <c r="G26" s="89">
        <f>VLOOKUP(F26,PACOTES!B:E,4,FALSE)</f>
        <v>5</v>
      </c>
      <c r="H26" s="89"/>
    </row>
    <row r="27" spans="1:8" ht="15.75" hidden="1">
      <c r="A27" s="95">
        <v>26</v>
      </c>
      <c r="B27" s="89" t="s">
        <v>99</v>
      </c>
      <c r="C27" s="90"/>
      <c r="D27" s="89">
        <f>COUNTIFS(EQUIPAMENTOS!$A:$A,A27,EQUIPAMENTOS!$F:$F,"&lt;&gt;FLIPERAMA",EQUIPAMENTOS!$F:$F,"&lt;&gt;VERIFICAR")</f>
        <v>1</v>
      </c>
      <c r="E27" s="89" t="s">
        <v>100</v>
      </c>
      <c r="F27" s="89" t="s">
        <v>2217</v>
      </c>
      <c r="G27" s="89">
        <f>VLOOKUP(F27,PACOTES!B:E,4,FALSE)</f>
        <v>9</v>
      </c>
      <c r="H27" s="89"/>
    </row>
    <row r="28" spans="1:8" ht="15.75" hidden="1">
      <c r="A28" s="95">
        <v>27</v>
      </c>
      <c r="B28" s="89" t="s">
        <v>101</v>
      </c>
      <c r="C28" s="90"/>
      <c r="D28" s="89">
        <f>COUNTIFS(EQUIPAMENTOS!$A:$A,A28,EQUIPAMENTOS!$F:$F,"&lt;&gt;FLIPERAMA",EQUIPAMENTOS!$F:$F,"&lt;&gt;VERIFICAR")</f>
        <v>1</v>
      </c>
      <c r="E28" s="89" t="s">
        <v>102</v>
      </c>
      <c r="F28" s="89" t="s">
        <v>2222</v>
      </c>
      <c r="G28" s="89">
        <f>VLOOKUP(F28,PACOTES!B:E,4,FALSE)</f>
        <v>4</v>
      </c>
      <c r="H28" s="89"/>
    </row>
    <row r="29" spans="1:8" ht="15.75" hidden="1">
      <c r="A29" s="95">
        <v>28</v>
      </c>
      <c r="B29" s="89" t="s">
        <v>103</v>
      </c>
      <c r="C29" s="90"/>
      <c r="D29" s="89">
        <f>COUNTIFS(EQUIPAMENTOS!$A:$A,A29,EQUIPAMENTOS!$F:$F,"&lt;&gt;FLIPERAMA",EQUIPAMENTOS!$F:$F,"&lt;&gt;VERIFICAR")</f>
        <v>2</v>
      </c>
      <c r="E29" s="89" t="s">
        <v>104</v>
      </c>
      <c r="F29" s="89" t="s">
        <v>2217</v>
      </c>
      <c r="G29" s="89">
        <f>VLOOKUP(F29,PACOTES!B:E,4,FALSE)</f>
        <v>9</v>
      </c>
      <c r="H29" s="89"/>
    </row>
    <row r="30" spans="1:8" ht="15.75" hidden="1">
      <c r="A30" s="95">
        <v>29</v>
      </c>
      <c r="B30" s="89" t="s">
        <v>105</v>
      </c>
      <c r="C30" s="90"/>
      <c r="D30" s="89">
        <f>COUNTIFS(EQUIPAMENTOS!$A:$A,A30,EQUIPAMENTOS!$F:$F,"&lt;&gt;FLIPERAMA",EQUIPAMENTOS!$F:$F,"&lt;&gt;VERIFICAR")</f>
        <v>1</v>
      </c>
      <c r="E30" s="89" t="s">
        <v>106</v>
      </c>
      <c r="F30" s="89" t="s">
        <v>2224</v>
      </c>
      <c r="G30" s="89">
        <f>VLOOKUP(F30,PACOTES!B:E,4,FALSE)</f>
        <v>2</v>
      </c>
      <c r="H30" s="89"/>
    </row>
    <row r="31" spans="1:8" ht="15.75" hidden="1">
      <c r="A31" s="95">
        <v>30</v>
      </c>
      <c r="B31" s="89" t="s">
        <v>107</v>
      </c>
      <c r="C31" s="90"/>
      <c r="D31" s="89">
        <f>COUNTIFS(EQUIPAMENTOS!$A:$A,A31,EQUIPAMENTOS!$F:$F,"&lt;&gt;FLIPERAMA",EQUIPAMENTOS!$F:$F,"&lt;&gt;VERIFICAR")</f>
        <v>1</v>
      </c>
      <c r="E31" s="89" t="s">
        <v>108</v>
      </c>
      <c r="F31" s="89" t="s">
        <v>2225</v>
      </c>
      <c r="G31" s="89">
        <f>VLOOKUP(F31,PACOTES!B:E,4,FALSE)</f>
        <v>1</v>
      </c>
      <c r="H31" s="89"/>
    </row>
    <row r="32" spans="1:8" ht="15.75" hidden="1">
      <c r="A32" s="95">
        <v>31</v>
      </c>
      <c r="B32" s="89" t="s">
        <v>109</v>
      </c>
      <c r="C32" s="90"/>
      <c r="D32" s="89">
        <f>COUNTIFS(EQUIPAMENTOS!$A:$A,A32,EQUIPAMENTOS!$F:$F,"&lt;&gt;FLIPERAMA",EQUIPAMENTOS!$F:$F,"&lt;&gt;VERIFICAR")</f>
        <v>2</v>
      </c>
      <c r="E32" s="89" t="s">
        <v>110</v>
      </c>
      <c r="F32" s="89" t="s">
        <v>2217</v>
      </c>
      <c r="G32" s="89">
        <f>VLOOKUP(F32,PACOTES!B:E,4,FALSE)</f>
        <v>9</v>
      </c>
      <c r="H32" s="89"/>
    </row>
    <row r="33" spans="1:8" ht="15.75" hidden="1">
      <c r="A33" s="95">
        <v>32</v>
      </c>
      <c r="B33" s="89" t="s">
        <v>111</v>
      </c>
      <c r="C33" s="90"/>
      <c r="D33" s="89">
        <f>COUNTIFS(EQUIPAMENTOS!$A:$A,A33,EQUIPAMENTOS!$F:$F,"&lt;&gt;FLIPERAMA",EQUIPAMENTOS!$F:$F,"&lt;&gt;VERIFICAR")</f>
        <v>1</v>
      </c>
      <c r="E33" s="89" t="s">
        <v>112</v>
      </c>
      <c r="F33" s="89" t="s">
        <v>2221</v>
      </c>
      <c r="G33" s="89">
        <f>VLOOKUP(F33,PACOTES!B:E,4,FALSE)</f>
        <v>5</v>
      </c>
      <c r="H33" s="89"/>
    </row>
    <row r="34" spans="1:8" ht="15.75" hidden="1">
      <c r="A34" s="95">
        <v>33</v>
      </c>
      <c r="B34" s="89" t="s">
        <v>113</v>
      </c>
      <c r="C34" s="90"/>
      <c r="D34" s="89">
        <f>COUNTIFS(EQUIPAMENTOS!$A:$A,A34,EQUIPAMENTOS!$F:$F,"&lt;&gt;FLIPERAMA",EQUIPAMENTOS!$F:$F,"&lt;&gt;VERIFICAR")</f>
        <v>2</v>
      </c>
      <c r="E34" s="89" t="s">
        <v>114</v>
      </c>
      <c r="F34" s="89" t="s">
        <v>2223</v>
      </c>
      <c r="G34" s="89">
        <f>VLOOKUP(F34,PACOTES!B:E,4,FALSE)</f>
        <v>3</v>
      </c>
      <c r="H34" s="89"/>
    </row>
    <row r="35" spans="1:8" ht="15.75" hidden="1">
      <c r="A35" s="95">
        <v>34</v>
      </c>
      <c r="B35" s="89" t="s">
        <v>115</v>
      </c>
      <c r="C35" s="90"/>
      <c r="D35" s="89">
        <f>COUNTIFS(EQUIPAMENTOS!$A:$A,A35,EQUIPAMENTOS!$F:$F,"&lt;&gt;FLIPERAMA",EQUIPAMENTOS!$F:$F,"&lt;&gt;VERIFICAR")</f>
        <v>1</v>
      </c>
      <c r="E35" s="89" t="s">
        <v>116</v>
      </c>
      <c r="F35" s="89" t="s">
        <v>2224</v>
      </c>
      <c r="G35" s="89">
        <f>VLOOKUP(F35,PACOTES!B:E,4,FALSE)</f>
        <v>2</v>
      </c>
      <c r="H35" s="89"/>
    </row>
    <row r="36" spans="1:8" ht="15.75" hidden="1">
      <c r="A36" s="95">
        <v>35</v>
      </c>
      <c r="B36" s="89" t="s">
        <v>117</v>
      </c>
      <c r="C36" s="90"/>
      <c r="D36" s="89">
        <f>COUNTIFS(EQUIPAMENTOS!$A:$A,A36,EQUIPAMENTOS!$F:$F,"&lt;&gt;FLIPERAMA",EQUIPAMENTOS!$F:$F,"&lt;&gt;VERIFICAR")</f>
        <v>1</v>
      </c>
      <c r="E36" s="89" t="s">
        <v>118</v>
      </c>
      <c r="F36" s="89" t="s">
        <v>2217</v>
      </c>
      <c r="G36" s="89">
        <f>VLOOKUP(F36,PACOTES!B:E,4,FALSE)</f>
        <v>9</v>
      </c>
      <c r="H36" s="89"/>
    </row>
    <row r="37" spans="1:8" ht="15.75" hidden="1">
      <c r="A37" s="95">
        <v>36</v>
      </c>
      <c r="B37" s="89" t="s">
        <v>119</v>
      </c>
      <c r="C37" s="90"/>
      <c r="D37" s="89">
        <f>COUNTIFS(EQUIPAMENTOS!$A:$A,A37,EQUIPAMENTOS!$F:$F,"&lt;&gt;FLIPERAMA",EQUIPAMENTOS!$F:$F,"&lt;&gt;VERIFICAR")</f>
        <v>1</v>
      </c>
      <c r="E37" s="89" t="s">
        <v>120</v>
      </c>
      <c r="F37" s="89" t="s">
        <v>2216</v>
      </c>
      <c r="G37" s="89">
        <f>VLOOKUP(F37,PACOTES!B:E,4,FALSE)</f>
        <v>10</v>
      </c>
      <c r="H37" s="89"/>
    </row>
    <row r="38" spans="1:8" ht="15.75" hidden="1">
      <c r="A38" s="95">
        <v>37</v>
      </c>
      <c r="B38" s="89" t="s">
        <v>121</v>
      </c>
      <c r="C38" s="90"/>
      <c r="D38" s="89">
        <f>COUNTIFS(EQUIPAMENTOS!$A:$A,A38,EQUIPAMENTOS!$F:$F,"&lt;&gt;FLIPERAMA",EQUIPAMENTOS!$F:$F,"&lt;&gt;VERIFICAR")</f>
        <v>1</v>
      </c>
      <c r="E38" s="89" t="s">
        <v>122</v>
      </c>
      <c r="F38" s="89" t="s">
        <v>2216</v>
      </c>
      <c r="G38" s="89">
        <f>VLOOKUP(F38,PACOTES!B:E,4,FALSE)</f>
        <v>10</v>
      </c>
      <c r="H38" s="89"/>
    </row>
    <row r="39" spans="1:8" ht="15.75" hidden="1">
      <c r="A39" s="95">
        <v>38</v>
      </c>
      <c r="B39" s="89" t="s">
        <v>123</v>
      </c>
      <c r="C39" s="90"/>
      <c r="D39" s="89">
        <f>COUNTIFS(EQUIPAMENTOS!$A:$A,A39,EQUIPAMENTOS!$F:$F,"&lt;&gt;FLIPERAMA",EQUIPAMENTOS!$F:$F,"&lt;&gt;VERIFICAR")</f>
        <v>2</v>
      </c>
      <c r="E39" s="89" t="s">
        <v>124</v>
      </c>
      <c r="F39" s="89" t="s">
        <v>2225</v>
      </c>
      <c r="G39" s="89">
        <f>VLOOKUP(F39,PACOTES!B:E,4,FALSE)</f>
        <v>1</v>
      </c>
      <c r="H39" s="89"/>
    </row>
    <row r="40" spans="1:8" ht="15.75" hidden="1">
      <c r="A40" s="95">
        <v>39</v>
      </c>
      <c r="B40" s="89" t="s">
        <v>125</v>
      </c>
      <c r="C40" s="90"/>
      <c r="D40" s="89">
        <f>COUNTIFS(EQUIPAMENTOS!$A:$A,A40,EQUIPAMENTOS!$F:$F,"&lt;&gt;FLIPERAMA",EQUIPAMENTOS!$F:$F,"&lt;&gt;VERIFICAR")</f>
        <v>1</v>
      </c>
      <c r="E40" s="89" t="s">
        <v>126</v>
      </c>
      <c r="F40" s="89" t="s">
        <v>2223</v>
      </c>
      <c r="G40" s="89">
        <f>VLOOKUP(F40,PACOTES!B:E,4,FALSE)</f>
        <v>3</v>
      </c>
      <c r="H40" s="89"/>
    </row>
    <row r="41" spans="1:8" ht="15.75" hidden="1">
      <c r="A41" s="95">
        <v>40</v>
      </c>
      <c r="B41" s="89" t="s">
        <v>127</v>
      </c>
      <c r="C41" s="90"/>
      <c r="D41" s="89">
        <f>COUNTIFS(EQUIPAMENTOS!$A:$A,A41,EQUIPAMENTOS!$F:$F,"&lt;&gt;FLIPERAMA",EQUIPAMENTOS!$F:$F,"&lt;&gt;VERIFICAR")</f>
        <v>3</v>
      </c>
      <c r="E41" s="89" t="s">
        <v>128</v>
      </c>
      <c r="F41" s="89" t="s">
        <v>2220</v>
      </c>
      <c r="G41" s="89">
        <f>VLOOKUP(F41,PACOTES!B:E,4,FALSE)</f>
        <v>6</v>
      </c>
      <c r="H41" s="89"/>
    </row>
    <row r="42" spans="1:8" ht="15.75" hidden="1">
      <c r="A42" s="95">
        <v>41</v>
      </c>
      <c r="B42" s="89" t="s">
        <v>129</v>
      </c>
      <c r="C42" s="90"/>
      <c r="D42" s="89">
        <f>COUNTIFS(EQUIPAMENTOS!$A:$A,A42,EQUIPAMENTOS!$F:$F,"&lt;&gt;FLIPERAMA",EQUIPAMENTOS!$F:$F,"&lt;&gt;VERIFICAR")</f>
        <v>1</v>
      </c>
      <c r="E42" s="89" t="s">
        <v>130</v>
      </c>
      <c r="F42" s="89" t="s">
        <v>2224</v>
      </c>
      <c r="G42" s="89">
        <f>VLOOKUP(F42,PACOTES!B:E,4,FALSE)</f>
        <v>2</v>
      </c>
      <c r="H42" s="89"/>
    </row>
    <row r="43" spans="1:8" ht="15.75" hidden="1">
      <c r="A43" s="95">
        <v>42</v>
      </c>
      <c r="B43" s="89" t="s">
        <v>131</v>
      </c>
      <c r="C43" s="90" t="s">
        <v>132</v>
      </c>
      <c r="D43" s="89">
        <f>COUNTIFS(EQUIPAMENTOS!$A:$A,A43,EQUIPAMENTOS!$F:$F,"&lt;&gt;FLIPERAMA",EQUIPAMENTOS!$F:$F,"&lt;&gt;VERIFICAR")</f>
        <v>5</v>
      </c>
      <c r="E43" s="89" t="s">
        <v>133</v>
      </c>
      <c r="F43" s="89" t="s">
        <v>2226</v>
      </c>
      <c r="G43" s="89">
        <f>VLOOKUP(F43,PACOTES!B:E,4,FALSE)</f>
        <v>0</v>
      </c>
      <c r="H43" s="89" t="s">
        <v>134</v>
      </c>
    </row>
    <row r="44" spans="1:8" ht="15.75" hidden="1">
      <c r="A44" s="95">
        <v>43</v>
      </c>
      <c r="B44" s="89" t="s">
        <v>136</v>
      </c>
      <c r="C44" s="90"/>
      <c r="D44" s="89">
        <f>COUNTIFS(EQUIPAMENTOS!$A:$A,A44,EQUIPAMENTOS!$F:$F,"&lt;&gt;FLIPERAMA",EQUIPAMENTOS!$F:$F,"&lt;&gt;VERIFICAR")</f>
        <v>2</v>
      </c>
      <c r="E44" s="89" t="s">
        <v>137</v>
      </c>
      <c r="F44" s="89" t="s">
        <v>2217</v>
      </c>
      <c r="G44" s="89">
        <f>VLOOKUP(F44,PACOTES!B:E,4,FALSE)</f>
        <v>9</v>
      </c>
      <c r="H44" s="89"/>
    </row>
    <row r="45" spans="1:8" ht="15.75" hidden="1">
      <c r="A45" s="95">
        <v>44</v>
      </c>
      <c r="B45" s="89" t="s">
        <v>138</v>
      </c>
      <c r="C45" s="90"/>
      <c r="D45" s="89">
        <f>COUNTIFS(EQUIPAMENTOS!$A:$A,A45,EQUIPAMENTOS!$F:$F,"&lt;&gt;FLIPERAMA",EQUIPAMENTOS!$F:$F,"&lt;&gt;VERIFICAR")</f>
        <v>1</v>
      </c>
      <c r="E45" s="89" t="s">
        <v>139</v>
      </c>
      <c r="F45" s="89" t="s">
        <v>2217</v>
      </c>
      <c r="G45" s="89">
        <f>VLOOKUP(F45,PACOTES!B:E,4,FALSE)</f>
        <v>9</v>
      </c>
      <c r="H45" s="89"/>
    </row>
    <row r="46" spans="1:8" ht="15.75" hidden="1">
      <c r="A46" s="95">
        <v>45</v>
      </c>
      <c r="B46" s="89" t="s">
        <v>140</v>
      </c>
      <c r="C46" s="90"/>
      <c r="D46" s="89">
        <f>COUNTIFS(EQUIPAMENTOS!$A:$A,A46,EQUIPAMENTOS!$F:$F,"&lt;&gt;FLIPERAMA",EQUIPAMENTOS!$F:$F,"&lt;&gt;VERIFICAR")</f>
        <v>1</v>
      </c>
      <c r="E46" s="89" t="s">
        <v>141</v>
      </c>
      <c r="F46" s="89" t="s">
        <v>2224</v>
      </c>
      <c r="G46" s="89">
        <f>VLOOKUP(F46,PACOTES!B:E,4,FALSE)</f>
        <v>2</v>
      </c>
      <c r="H46" s="89"/>
    </row>
    <row r="47" spans="1:8" ht="15.75" hidden="1">
      <c r="A47" s="95">
        <v>46</v>
      </c>
      <c r="B47" s="89" t="s">
        <v>142</v>
      </c>
      <c r="C47" s="90"/>
      <c r="D47" s="89">
        <f>COUNTIFS(EQUIPAMENTOS!$A:$A,A47,EQUIPAMENTOS!$F:$F,"&lt;&gt;FLIPERAMA",EQUIPAMENTOS!$F:$F,"&lt;&gt;VERIFICAR")</f>
        <v>2</v>
      </c>
      <c r="E47" s="89" t="s">
        <v>143</v>
      </c>
      <c r="F47" s="89" t="s">
        <v>2221</v>
      </c>
      <c r="G47" s="89">
        <f>VLOOKUP(F47,PACOTES!B:E,4,FALSE)</f>
        <v>5</v>
      </c>
      <c r="H47" s="89"/>
    </row>
    <row r="48" spans="1:8" ht="31.5" hidden="1">
      <c r="A48" s="95">
        <v>47</v>
      </c>
      <c r="B48" s="89" t="s">
        <v>144</v>
      </c>
      <c r="C48" s="90" t="s">
        <v>145</v>
      </c>
      <c r="D48" s="89">
        <f>COUNTIFS(EQUIPAMENTOS!$A:$A,A48,EQUIPAMENTOS!$F:$F,"&lt;&gt;FLIPERAMA",EQUIPAMENTOS!$F:$F,"&lt;&gt;VERIFICAR")</f>
        <v>7</v>
      </c>
      <c r="E48" s="89">
        <v>21964500550</v>
      </c>
      <c r="F48" s="89" t="s">
        <v>2226</v>
      </c>
      <c r="G48" s="89">
        <f>VLOOKUP(F48,PACOTES!B:E,4,FALSE)</f>
        <v>0</v>
      </c>
      <c r="H48" s="89" t="s">
        <v>134</v>
      </c>
    </row>
    <row r="49" spans="1:8" ht="15.75" hidden="1">
      <c r="A49" s="95">
        <v>48</v>
      </c>
      <c r="B49" s="89" t="s">
        <v>146</v>
      </c>
      <c r="C49" s="90"/>
      <c r="D49" s="89">
        <f>COUNTIFS(EQUIPAMENTOS!$A:$A,A49,EQUIPAMENTOS!$F:$F,"&lt;&gt;FLIPERAMA",EQUIPAMENTOS!$F:$F,"&lt;&gt;VERIFICAR")</f>
        <v>3</v>
      </c>
      <c r="E49" s="89" t="s">
        <v>147</v>
      </c>
      <c r="F49" s="89" t="s">
        <v>2224</v>
      </c>
      <c r="G49" s="89">
        <f>VLOOKUP(F49,PACOTES!B:E,4,FALSE)</f>
        <v>2</v>
      </c>
      <c r="H49" s="89"/>
    </row>
    <row r="50" spans="1:8" ht="15.75" hidden="1">
      <c r="A50" s="95">
        <v>49</v>
      </c>
      <c r="B50" s="89" t="s">
        <v>148</v>
      </c>
      <c r="C50" s="90"/>
      <c r="D50" s="89">
        <f>COUNTIFS(EQUIPAMENTOS!$A:$A,A50,EQUIPAMENTOS!$F:$F,"&lt;&gt;FLIPERAMA",EQUIPAMENTOS!$F:$F,"&lt;&gt;VERIFICAR")</f>
        <v>1</v>
      </c>
      <c r="E50" s="89" t="s">
        <v>149</v>
      </c>
      <c r="F50" s="89" t="s">
        <v>2218</v>
      </c>
      <c r="G50" s="89">
        <f>VLOOKUP(F50,PACOTES!B:E,4,FALSE)</f>
        <v>8</v>
      </c>
      <c r="H50" s="89"/>
    </row>
    <row r="51" spans="1:8" ht="15.75" hidden="1">
      <c r="A51" s="95">
        <v>50</v>
      </c>
      <c r="B51" s="89" t="s">
        <v>150</v>
      </c>
      <c r="C51" s="90"/>
      <c r="D51" s="89">
        <f>COUNTIFS(EQUIPAMENTOS!$A:$A,A51,EQUIPAMENTOS!$F:$F,"&lt;&gt;FLIPERAMA",EQUIPAMENTOS!$F:$F,"&lt;&gt;VERIFICAR")</f>
        <v>1</v>
      </c>
      <c r="E51" s="89" t="s">
        <v>151</v>
      </c>
      <c r="F51" s="89" t="s">
        <v>2221</v>
      </c>
      <c r="G51" s="89">
        <f>VLOOKUP(F51,PACOTES!B:E,4,FALSE)</f>
        <v>5</v>
      </c>
      <c r="H51" s="89"/>
    </row>
    <row r="52" spans="1:8" ht="15.75" hidden="1">
      <c r="A52" s="95">
        <v>51</v>
      </c>
      <c r="B52" s="89" t="s">
        <v>152</v>
      </c>
      <c r="C52" s="90"/>
      <c r="D52" s="89">
        <f>COUNTIFS(EQUIPAMENTOS!$A:$A,A52,EQUIPAMENTOS!$F:$F,"&lt;&gt;FLIPERAMA",EQUIPAMENTOS!$F:$F,"&lt;&gt;VERIFICAR")</f>
        <v>2</v>
      </c>
      <c r="E52" s="89" t="s">
        <v>153</v>
      </c>
      <c r="F52" s="89" t="s">
        <v>2223</v>
      </c>
      <c r="G52" s="89">
        <f>VLOOKUP(F52,PACOTES!B:E,4,FALSE)</f>
        <v>3</v>
      </c>
      <c r="H52" s="89"/>
    </row>
    <row r="53" spans="1:8" ht="15.75" hidden="1">
      <c r="A53" s="95">
        <v>52</v>
      </c>
      <c r="B53" s="89" t="s">
        <v>154</v>
      </c>
      <c r="C53" s="90"/>
      <c r="D53" s="89">
        <f>COUNTIFS(EQUIPAMENTOS!$A:$A,A53,EQUIPAMENTOS!$F:$F,"&lt;&gt;FLIPERAMA",EQUIPAMENTOS!$F:$F,"&lt;&gt;VERIFICAR")</f>
        <v>1</v>
      </c>
      <c r="E53" s="89" t="s">
        <v>155</v>
      </c>
      <c r="F53" s="89" t="s">
        <v>2225</v>
      </c>
      <c r="G53" s="89">
        <f>VLOOKUP(F53,PACOTES!B:E,4,FALSE)</f>
        <v>1</v>
      </c>
      <c r="H53" s="89"/>
    </row>
    <row r="54" spans="1:8" ht="15.75" hidden="1">
      <c r="A54" s="95">
        <v>53</v>
      </c>
      <c r="B54" s="89" t="s">
        <v>156</v>
      </c>
      <c r="C54" s="90"/>
      <c r="D54" s="89">
        <f>COUNTIFS(EQUIPAMENTOS!$A:$A,A54,EQUIPAMENTOS!$F:$F,"&lt;&gt;FLIPERAMA",EQUIPAMENTOS!$F:$F,"&lt;&gt;VERIFICAR")</f>
        <v>19</v>
      </c>
      <c r="E54" s="89" t="s">
        <v>157</v>
      </c>
      <c r="F54" s="89" t="s">
        <v>2221</v>
      </c>
      <c r="G54" s="89">
        <f>VLOOKUP(F54,PACOTES!B:E,4,FALSE)</f>
        <v>5</v>
      </c>
      <c r="H54" s="89"/>
    </row>
    <row r="55" spans="1:8" ht="15.75" hidden="1">
      <c r="A55" s="95">
        <v>54</v>
      </c>
      <c r="B55" s="89" t="s">
        <v>158</v>
      </c>
      <c r="C55" s="90"/>
      <c r="D55" s="89">
        <f>COUNTIFS(EQUIPAMENTOS!$A:$A,A55,EQUIPAMENTOS!$F:$F,"&lt;&gt;FLIPERAMA",EQUIPAMENTOS!$F:$F,"&lt;&gt;VERIFICAR")</f>
        <v>1</v>
      </c>
      <c r="E55" s="89" t="s">
        <v>159</v>
      </c>
      <c r="F55" s="89" t="s">
        <v>2221</v>
      </c>
      <c r="G55" s="89">
        <f>VLOOKUP(F55,PACOTES!B:E,4,FALSE)</f>
        <v>5</v>
      </c>
      <c r="H55" s="89"/>
    </row>
    <row r="56" spans="1:8" ht="15.75" hidden="1">
      <c r="A56" s="95">
        <v>55</v>
      </c>
      <c r="B56" s="89" t="s">
        <v>160</v>
      </c>
      <c r="C56" s="90"/>
      <c r="D56" s="89">
        <f>COUNTIFS(EQUIPAMENTOS!$A:$A,A56,EQUIPAMENTOS!$F:$F,"&lt;&gt;FLIPERAMA",EQUIPAMENTOS!$F:$F,"&lt;&gt;VERIFICAR")</f>
        <v>2</v>
      </c>
      <c r="E56" s="89" t="s">
        <v>161</v>
      </c>
      <c r="F56" s="89" t="s">
        <v>2221</v>
      </c>
      <c r="G56" s="89">
        <f>VLOOKUP(F56,PACOTES!B:E,4,FALSE)</f>
        <v>5</v>
      </c>
      <c r="H56" s="89"/>
    </row>
    <row r="57" spans="1:8" ht="15.75" hidden="1">
      <c r="A57" s="95">
        <v>56</v>
      </c>
      <c r="B57" s="89" t="s">
        <v>162</v>
      </c>
      <c r="C57" s="90"/>
      <c r="D57" s="89">
        <f>COUNTIFS(EQUIPAMENTOS!$A:$A,A57,EQUIPAMENTOS!$F:$F,"&lt;&gt;FLIPERAMA",EQUIPAMENTOS!$F:$F,"&lt;&gt;VERIFICAR")</f>
        <v>1</v>
      </c>
      <c r="E57" s="89" t="s">
        <v>163</v>
      </c>
      <c r="F57" s="89" t="s">
        <v>2218</v>
      </c>
      <c r="G57" s="89">
        <f>VLOOKUP(F57,PACOTES!B:E,4,FALSE)</f>
        <v>8</v>
      </c>
      <c r="H57" s="89"/>
    </row>
    <row r="58" spans="1:8" ht="15.75" hidden="1">
      <c r="A58" s="95">
        <v>57</v>
      </c>
      <c r="B58" s="89" t="s">
        <v>164</v>
      </c>
      <c r="C58" s="90"/>
      <c r="D58" s="89">
        <f>COUNTIFS(EQUIPAMENTOS!$A:$A,A58,EQUIPAMENTOS!$F:$F,"&lt;&gt;FLIPERAMA",EQUIPAMENTOS!$F:$F,"&lt;&gt;VERIFICAR")</f>
        <v>1</v>
      </c>
      <c r="E58" s="89" t="s">
        <v>165</v>
      </c>
      <c r="F58" s="89" t="s">
        <v>2220</v>
      </c>
      <c r="G58" s="89">
        <f>VLOOKUP(F58,PACOTES!B:E,4,FALSE)</f>
        <v>6</v>
      </c>
      <c r="H58" s="89"/>
    </row>
    <row r="59" spans="1:8" ht="15.75" hidden="1">
      <c r="A59" s="95">
        <v>58</v>
      </c>
      <c r="B59" s="89" t="s">
        <v>166</v>
      </c>
      <c r="C59" s="90"/>
      <c r="D59" s="89">
        <f>COUNTIFS(EQUIPAMENTOS!$A:$A,A59,EQUIPAMENTOS!$F:$F,"&lt;&gt;FLIPERAMA",EQUIPAMENTOS!$F:$F,"&lt;&gt;VERIFICAR")</f>
        <v>1</v>
      </c>
      <c r="E59" s="89" t="s">
        <v>167</v>
      </c>
      <c r="F59" s="89" t="s">
        <v>2220</v>
      </c>
      <c r="G59" s="89">
        <f>VLOOKUP(F59,PACOTES!B:E,4,FALSE)</f>
        <v>6</v>
      </c>
      <c r="H59" s="89"/>
    </row>
    <row r="60" spans="1:8" ht="15.75" hidden="1">
      <c r="A60" s="95">
        <v>59</v>
      </c>
      <c r="B60" s="89" t="s">
        <v>168</v>
      </c>
      <c r="C60" s="90"/>
      <c r="D60" s="89">
        <f>COUNTIFS(EQUIPAMENTOS!$A:$A,A60,EQUIPAMENTOS!$F:$F,"&lt;&gt;FLIPERAMA",EQUIPAMENTOS!$F:$F,"&lt;&gt;VERIFICAR")</f>
        <v>1</v>
      </c>
      <c r="E60" s="89" t="s">
        <v>169</v>
      </c>
      <c r="F60" s="89" t="s">
        <v>2218</v>
      </c>
      <c r="G60" s="89">
        <f>VLOOKUP(F60,PACOTES!B:E,4,FALSE)</f>
        <v>8</v>
      </c>
      <c r="H60" s="89"/>
    </row>
    <row r="61" spans="1:8" ht="15.75" hidden="1">
      <c r="A61" s="95">
        <v>60</v>
      </c>
      <c r="B61" s="89" t="s">
        <v>170</v>
      </c>
      <c r="C61" s="90"/>
      <c r="D61" s="89">
        <f>COUNTIFS(EQUIPAMENTOS!$A:$A,A61,EQUIPAMENTOS!$F:$F,"&lt;&gt;FLIPERAMA",EQUIPAMENTOS!$F:$F,"&lt;&gt;VERIFICAR")</f>
        <v>1</v>
      </c>
      <c r="E61" s="89" t="s">
        <v>171</v>
      </c>
      <c r="F61" s="89" t="s">
        <v>2222</v>
      </c>
      <c r="G61" s="89">
        <f>VLOOKUP(F61,PACOTES!B:E,4,FALSE)</f>
        <v>4</v>
      </c>
      <c r="H61" s="89"/>
    </row>
    <row r="62" spans="1:8" ht="15.75" hidden="1">
      <c r="A62" s="95">
        <v>61</v>
      </c>
      <c r="B62" s="89" t="s">
        <v>172</v>
      </c>
      <c r="C62" s="90"/>
      <c r="D62" s="89">
        <f>COUNTIFS(EQUIPAMENTOS!$A:$A,A62,EQUIPAMENTOS!$F:$F,"&lt;&gt;FLIPERAMA",EQUIPAMENTOS!$F:$F,"&lt;&gt;VERIFICAR")</f>
        <v>1</v>
      </c>
      <c r="E62" s="89" t="s">
        <v>173</v>
      </c>
      <c r="F62" s="89" t="s">
        <v>2216</v>
      </c>
      <c r="G62" s="89">
        <f>VLOOKUP(F62,PACOTES!B:E,4,FALSE)</f>
        <v>10</v>
      </c>
      <c r="H62" s="89"/>
    </row>
    <row r="63" spans="1:8" ht="15.75" hidden="1">
      <c r="A63" s="95">
        <v>62</v>
      </c>
      <c r="B63" s="89" t="s">
        <v>174</v>
      </c>
      <c r="C63" s="90"/>
      <c r="D63" s="89">
        <f>COUNTIFS(EQUIPAMENTOS!$A:$A,A63,EQUIPAMENTOS!$F:$F,"&lt;&gt;FLIPERAMA",EQUIPAMENTOS!$F:$F,"&lt;&gt;VERIFICAR")</f>
        <v>1</v>
      </c>
      <c r="E63" s="89" t="s">
        <v>175</v>
      </c>
      <c r="F63" s="89" t="s">
        <v>2221</v>
      </c>
      <c r="G63" s="89">
        <f>VLOOKUP(F63,PACOTES!B:E,4,FALSE)</f>
        <v>5</v>
      </c>
      <c r="H63" s="89"/>
    </row>
    <row r="64" spans="1:8" ht="15.75" hidden="1">
      <c r="A64" s="95">
        <v>63</v>
      </c>
      <c r="B64" s="89" t="s">
        <v>176</v>
      </c>
      <c r="C64" s="90"/>
      <c r="D64" s="89">
        <f>COUNTIFS(EQUIPAMENTOS!$A:$A,A64,EQUIPAMENTOS!$F:$F,"&lt;&gt;FLIPERAMA",EQUIPAMENTOS!$F:$F,"&lt;&gt;VERIFICAR")</f>
        <v>1</v>
      </c>
      <c r="E64" s="89" t="s">
        <v>177</v>
      </c>
      <c r="F64" s="89" t="s">
        <v>2217</v>
      </c>
      <c r="G64" s="89">
        <f>VLOOKUP(F64,PACOTES!B:E,4,FALSE)</f>
        <v>9</v>
      </c>
      <c r="H64" s="89"/>
    </row>
    <row r="65" spans="1:8" ht="15.75" hidden="1">
      <c r="A65" s="95">
        <v>64</v>
      </c>
      <c r="B65" s="89" t="s">
        <v>178</v>
      </c>
      <c r="C65" s="90"/>
      <c r="D65" s="89">
        <f>COUNTIFS(EQUIPAMENTOS!$A:$A,A65,EQUIPAMENTOS!$F:$F,"&lt;&gt;FLIPERAMA",EQUIPAMENTOS!$F:$F,"&lt;&gt;VERIFICAR")</f>
        <v>1</v>
      </c>
      <c r="E65" s="89" t="s">
        <v>179</v>
      </c>
      <c r="F65" s="89" t="s">
        <v>2221</v>
      </c>
      <c r="G65" s="89">
        <f>VLOOKUP(F65,PACOTES!B:E,4,FALSE)</f>
        <v>5</v>
      </c>
      <c r="H65" s="89"/>
    </row>
    <row r="66" spans="1:8" ht="15.75" hidden="1">
      <c r="A66" s="95">
        <v>65</v>
      </c>
      <c r="B66" s="89" t="s">
        <v>180</v>
      </c>
      <c r="C66" s="90"/>
      <c r="D66" s="89">
        <f>COUNTIFS(EQUIPAMENTOS!$A:$A,A66,EQUIPAMENTOS!$F:$F,"&lt;&gt;FLIPERAMA",EQUIPAMENTOS!$F:$F,"&lt;&gt;VERIFICAR")</f>
        <v>3</v>
      </c>
      <c r="E66" s="89" t="s">
        <v>181</v>
      </c>
      <c r="F66" s="89" t="s">
        <v>2221</v>
      </c>
      <c r="G66" s="89">
        <f>VLOOKUP(F66,PACOTES!B:E,4,FALSE)</f>
        <v>5</v>
      </c>
      <c r="H66" s="89"/>
    </row>
    <row r="67" spans="1:8" ht="15.75" hidden="1">
      <c r="A67" s="95">
        <v>66</v>
      </c>
      <c r="B67" s="89" t="s">
        <v>182</v>
      </c>
      <c r="C67" s="90"/>
      <c r="D67" s="89">
        <f>COUNTIFS(EQUIPAMENTOS!$A:$A,A67,EQUIPAMENTOS!$F:$F,"&lt;&gt;FLIPERAMA",EQUIPAMENTOS!$F:$F,"&lt;&gt;VERIFICAR")</f>
        <v>1</v>
      </c>
      <c r="E67" s="89" t="s">
        <v>183</v>
      </c>
      <c r="F67" s="89" t="s">
        <v>2225</v>
      </c>
      <c r="G67" s="89">
        <f>VLOOKUP(F67,PACOTES!B:E,4,FALSE)</f>
        <v>1</v>
      </c>
      <c r="H67" s="89"/>
    </row>
    <row r="68" spans="1:8" ht="15.75" hidden="1">
      <c r="A68" s="95">
        <v>67</v>
      </c>
      <c r="B68" s="89" t="s">
        <v>184</v>
      </c>
      <c r="C68" s="90"/>
      <c r="D68" s="89">
        <f>COUNTIFS(EQUIPAMENTOS!$A:$A,A68,EQUIPAMENTOS!$F:$F,"&lt;&gt;FLIPERAMA",EQUIPAMENTOS!$F:$F,"&lt;&gt;VERIFICAR")</f>
        <v>1</v>
      </c>
      <c r="E68" s="89" t="s">
        <v>185</v>
      </c>
      <c r="F68" s="89" t="s">
        <v>2221</v>
      </c>
      <c r="G68" s="89">
        <f>VLOOKUP(F68,PACOTES!B:E,4,FALSE)</f>
        <v>5</v>
      </c>
      <c r="H68" s="89"/>
    </row>
    <row r="69" spans="1:8" ht="15.75" hidden="1">
      <c r="A69" s="95">
        <v>68</v>
      </c>
      <c r="B69" s="89" t="s">
        <v>186</v>
      </c>
      <c r="C69" s="90"/>
      <c r="D69" s="89">
        <f>COUNTIFS(EQUIPAMENTOS!$A:$A,A69,EQUIPAMENTOS!$F:$F,"&lt;&gt;FLIPERAMA",EQUIPAMENTOS!$F:$F,"&lt;&gt;VERIFICAR")</f>
        <v>1</v>
      </c>
      <c r="E69" s="89" t="s">
        <v>187</v>
      </c>
      <c r="F69" s="89" t="s">
        <v>2224</v>
      </c>
      <c r="G69" s="89">
        <f>VLOOKUP(F69,PACOTES!B:E,4,FALSE)</f>
        <v>2</v>
      </c>
      <c r="H69" s="89"/>
    </row>
    <row r="70" spans="1:8" ht="15.75" hidden="1">
      <c r="A70" s="95">
        <v>69</v>
      </c>
      <c r="B70" s="89" t="s">
        <v>188</v>
      </c>
      <c r="C70" s="90"/>
      <c r="D70" s="89">
        <f>COUNTIFS(EQUIPAMENTOS!$A:$A,A70,EQUIPAMENTOS!$F:$F,"&lt;&gt;FLIPERAMA",EQUIPAMENTOS!$F:$F,"&lt;&gt;VERIFICAR")</f>
        <v>1</v>
      </c>
      <c r="E70" s="89" t="s">
        <v>189</v>
      </c>
      <c r="F70" s="89" t="s">
        <v>2221</v>
      </c>
      <c r="G70" s="89">
        <f>VLOOKUP(F70,PACOTES!B:E,4,FALSE)</f>
        <v>5</v>
      </c>
      <c r="H70" s="89"/>
    </row>
    <row r="71" spans="1:8" ht="15.75" hidden="1">
      <c r="A71" s="95">
        <v>70</v>
      </c>
      <c r="B71" s="89" t="s">
        <v>190</v>
      </c>
      <c r="C71" s="90"/>
      <c r="D71" s="89">
        <f>COUNTIFS(EQUIPAMENTOS!$A:$A,A71,EQUIPAMENTOS!$F:$F,"&lt;&gt;FLIPERAMA",EQUIPAMENTOS!$F:$F,"&lt;&gt;VERIFICAR")</f>
        <v>1</v>
      </c>
      <c r="E71" s="89" t="s">
        <v>191</v>
      </c>
      <c r="F71" s="89" t="s">
        <v>2223</v>
      </c>
      <c r="G71" s="89">
        <f>VLOOKUP(F71,PACOTES!B:E,4,FALSE)</f>
        <v>3</v>
      </c>
      <c r="H71" s="89"/>
    </row>
    <row r="72" spans="1:8" ht="15.75" hidden="1">
      <c r="A72" s="95">
        <v>71</v>
      </c>
      <c r="B72" s="89" t="s">
        <v>192</v>
      </c>
      <c r="C72" s="90"/>
      <c r="D72" s="89">
        <f>COUNTIFS(EQUIPAMENTOS!$A:$A,A72,EQUIPAMENTOS!$F:$F,"&lt;&gt;FLIPERAMA",EQUIPAMENTOS!$F:$F,"&lt;&gt;VERIFICAR")</f>
        <v>1</v>
      </c>
      <c r="E72" s="89" t="s">
        <v>193</v>
      </c>
      <c r="F72" s="89" t="s">
        <v>2215</v>
      </c>
      <c r="G72" s="89">
        <f>VLOOKUP(F72,PACOTES!B:E,4,FALSE)</f>
        <v>11</v>
      </c>
      <c r="H72" s="89"/>
    </row>
    <row r="73" spans="1:8" ht="15.75" hidden="1">
      <c r="A73" s="95">
        <v>72</v>
      </c>
      <c r="B73" s="89" t="s">
        <v>194</v>
      </c>
      <c r="C73" s="90"/>
      <c r="D73" s="89">
        <f>COUNTIFS(EQUIPAMENTOS!$A:$A,A73,EQUIPAMENTOS!$F:$F,"&lt;&gt;FLIPERAMA",EQUIPAMENTOS!$F:$F,"&lt;&gt;VERIFICAR")</f>
        <v>1</v>
      </c>
      <c r="E73" s="89" t="s">
        <v>195</v>
      </c>
      <c r="F73" s="89" t="s">
        <v>2225</v>
      </c>
      <c r="G73" s="89">
        <f>VLOOKUP(F73,PACOTES!B:E,4,FALSE)</f>
        <v>1</v>
      </c>
      <c r="H73" s="89"/>
    </row>
    <row r="74" spans="1:8" ht="15.75" hidden="1">
      <c r="A74" s="95">
        <v>73</v>
      </c>
      <c r="B74" s="89" t="s">
        <v>196</v>
      </c>
      <c r="C74" s="90"/>
      <c r="D74" s="89">
        <f>COUNTIFS(EQUIPAMENTOS!$A:$A,A74,EQUIPAMENTOS!$F:$F,"&lt;&gt;FLIPERAMA",EQUIPAMENTOS!$F:$F,"&lt;&gt;VERIFICAR")</f>
        <v>1</v>
      </c>
      <c r="E74" s="89" t="s">
        <v>197</v>
      </c>
      <c r="F74" s="89" t="s">
        <v>2224</v>
      </c>
      <c r="G74" s="89">
        <f>VLOOKUP(F74,PACOTES!B:E,4,FALSE)</f>
        <v>2</v>
      </c>
      <c r="H74" s="89"/>
    </row>
    <row r="75" spans="1:8" ht="15.75" hidden="1">
      <c r="A75" s="95">
        <v>74</v>
      </c>
      <c r="B75" s="89" t="s">
        <v>198</v>
      </c>
      <c r="C75" s="90"/>
      <c r="D75" s="89">
        <f>COUNTIFS(EQUIPAMENTOS!$A:$A,A75,EQUIPAMENTOS!$F:$F,"&lt;&gt;FLIPERAMA",EQUIPAMENTOS!$F:$F,"&lt;&gt;VERIFICAR")</f>
        <v>1</v>
      </c>
      <c r="E75" s="89" t="s">
        <v>199</v>
      </c>
      <c r="F75" s="89" t="s">
        <v>2221</v>
      </c>
      <c r="G75" s="89">
        <f>VLOOKUP(F75,PACOTES!B:E,4,FALSE)</f>
        <v>5</v>
      </c>
      <c r="H75" s="89"/>
    </row>
    <row r="76" spans="1:8" ht="15.75" hidden="1">
      <c r="A76" s="95">
        <v>75</v>
      </c>
      <c r="B76" s="89" t="s">
        <v>200</v>
      </c>
      <c r="C76" s="90"/>
      <c r="D76" s="89">
        <f>COUNTIFS(EQUIPAMENTOS!$A:$A,A76,EQUIPAMENTOS!$F:$F,"&lt;&gt;FLIPERAMA",EQUIPAMENTOS!$F:$F,"&lt;&gt;VERIFICAR")</f>
        <v>1</v>
      </c>
      <c r="E76" s="89" t="s">
        <v>201</v>
      </c>
      <c r="F76" s="89" t="s">
        <v>2221</v>
      </c>
      <c r="G76" s="89">
        <f>VLOOKUP(F76,PACOTES!B:E,4,FALSE)</f>
        <v>5</v>
      </c>
      <c r="H76" s="89"/>
    </row>
    <row r="77" spans="1:8" ht="15.75" hidden="1">
      <c r="A77" s="95">
        <v>76</v>
      </c>
      <c r="B77" s="89" t="s">
        <v>202</v>
      </c>
      <c r="C77" s="90"/>
      <c r="D77" s="89">
        <f>COUNTIFS(EQUIPAMENTOS!$A:$A,A77,EQUIPAMENTOS!$F:$F,"&lt;&gt;FLIPERAMA",EQUIPAMENTOS!$F:$F,"&lt;&gt;VERIFICAR")</f>
        <v>2</v>
      </c>
      <c r="E77" s="89" t="s">
        <v>203</v>
      </c>
      <c r="F77" s="89" t="s">
        <v>2225</v>
      </c>
      <c r="G77" s="89">
        <f>VLOOKUP(F77,PACOTES!B:E,4,FALSE)</f>
        <v>1</v>
      </c>
      <c r="H77" s="89"/>
    </row>
    <row r="78" spans="1:8" ht="15.75" hidden="1">
      <c r="A78" s="95">
        <v>77</v>
      </c>
      <c r="B78" s="89" t="s">
        <v>204</v>
      </c>
      <c r="C78" s="90"/>
      <c r="D78" s="89">
        <f>COUNTIFS(EQUIPAMENTOS!$A:$A,A78,EQUIPAMENTOS!$F:$F,"&lt;&gt;FLIPERAMA",EQUIPAMENTOS!$F:$F,"&lt;&gt;VERIFICAR")</f>
        <v>1</v>
      </c>
      <c r="E78" s="89" t="s">
        <v>205</v>
      </c>
      <c r="F78" s="89" t="s">
        <v>2225</v>
      </c>
      <c r="G78" s="89">
        <f>VLOOKUP(F78,PACOTES!B:E,4,FALSE)</f>
        <v>1</v>
      </c>
      <c r="H78" s="89"/>
    </row>
    <row r="79" spans="1:8" ht="15.75" hidden="1">
      <c r="A79" s="95">
        <v>78</v>
      </c>
      <c r="B79" s="89" t="s">
        <v>206</v>
      </c>
      <c r="C79" s="90"/>
      <c r="D79" s="89">
        <f>COUNTIFS(EQUIPAMENTOS!$A:$A,A79,EQUIPAMENTOS!$F:$F,"&lt;&gt;FLIPERAMA",EQUIPAMENTOS!$F:$F,"&lt;&gt;VERIFICAR")</f>
        <v>1</v>
      </c>
      <c r="E79" s="89" t="s">
        <v>207</v>
      </c>
      <c r="F79" s="89" t="s">
        <v>2223</v>
      </c>
      <c r="G79" s="89">
        <f>VLOOKUP(F79,PACOTES!B:E,4,FALSE)</f>
        <v>3</v>
      </c>
      <c r="H79" s="89"/>
    </row>
    <row r="80" spans="1:8" ht="15.75" hidden="1">
      <c r="A80" s="95">
        <v>79</v>
      </c>
      <c r="B80" s="89" t="s">
        <v>208</v>
      </c>
      <c r="C80" s="90"/>
      <c r="D80" s="89">
        <f>COUNTIFS(EQUIPAMENTOS!$A:$A,A80,EQUIPAMENTOS!$F:$F,"&lt;&gt;FLIPERAMA",EQUIPAMENTOS!$F:$F,"&lt;&gt;VERIFICAR")</f>
        <v>1</v>
      </c>
      <c r="E80" s="89" t="s">
        <v>209</v>
      </c>
      <c r="F80" s="89" t="s">
        <v>2225</v>
      </c>
      <c r="G80" s="89">
        <f>VLOOKUP(F80,PACOTES!B:E,4,FALSE)</f>
        <v>1</v>
      </c>
      <c r="H80" s="89"/>
    </row>
    <row r="81" spans="1:8" ht="15.75" hidden="1">
      <c r="A81" s="95">
        <v>80</v>
      </c>
      <c r="B81" s="89" t="s">
        <v>210</v>
      </c>
      <c r="C81" s="90"/>
      <c r="D81" s="89">
        <f>COUNTIFS(EQUIPAMENTOS!$A:$A,A81,EQUIPAMENTOS!$F:$F,"&lt;&gt;FLIPERAMA",EQUIPAMENTOS!$F:$F,"&lt;&gt;VERIFICAR")</f>
        <v>2</v>
      </c>
      <c r="E81" s="89" t="s">
        <v>211</v>
      </c>
      <c r="F81" s="89" t="s">
        <v>2222</v>
      </c>
      <c r="G81" s="89">
        <f>VLOOKUP(F81,PACOTES!B:E,4,FALSE)</f>
        <v>4</v>
      </c>
      <c r="H81" s="89"/>
    </row>
    <row r="82" spans="1:8" ht="15.75" hidden="1">
      <c r="A82" s="95">
        <v>81</v>
      </c>
      <c r="B82" s="89" t="s">
        <v>212</v>
      </c>
      <c r="C82" s="90"/>
      <c r="D82" s="89">
        <f>COUNTIFS(EQUIPAMENTOS!$A:$A,A82,EQUIPAMENTOS!$F:$F,"&lt;&gt;FLIPERAMA",EQUIPAMENTOS!$F:$F,"&lt;&gt;VERIFICAR")</f>
        <v>1</v>
      </c>
      <c r="E82" s="89" t="s">
        <v>213</v>
      </c>
      <c r="F82" s="89" t="s">
        <v>2224</v>
      </c>
      <c r="G82" s="89">
        <f>VLOOKUP(F82,PACOTES!B:E,4,FALSE)</f>
        <v>2</v>
      </c>
      <c r="H82" s="89"/>
    </row>
    <row r="83" spans="1:8" ht="15.75" hidden="1">
      <c r="A83" s="95">
        <v>82</v>
      </c>
      <c r="B83" s="89" t="s">
        <v>214</v>
      </c>
      <c r="C83" s="90"/>
      <c r="D83" s="89">
        <f>COUNTIFS(EQUIPAMENTOS!$A:$A,A83,EQUIPAMENTOS!$F:$F,"&lt;&gt;FLIPERAMA",EQUIPAMENTOS!$F:$F,"&lt;&gt;VERIFICAR")</f>
        <v>1</v>
      </c>
      <c r="E83" s="89" t="s">
        <v>215</v>
      </c>
      <c r="F83" s="89" t="s">
        <v>2220</v>
      </c>
      <c r="G83" s="89">
        <f>VLOOKUP(F83,PACOTES!B:E,4,FALSE)</f>
        <v>6</v>
      </c>
      <c r="H83" s="89"/>
    </row>
    <row r="84" spans="1:8" ht="15.75" hidden="1">
      <c r="A84" s="95">
        <v>83</v>
      </c>
      <c r="B84" s="89" t="s">
        <v>216</v>
      </c>
      <c r="C84" s="90"/>
      <c r="D84" s="89">
        <f>COUNTIFS(EQUIPAMENTOS!$A:$A,A84,EQUIPAMENTOS!$F:$F,"&lt;&gt;FLIPERAMA",EQUIPAMENTOS!$F:$F,"&lt;&gt;VERIFICAR")</f>
        <v>1</v>
      </c>
      <c r="E84" s="89" t="s">
        <v>217</v>
      </c>
      <c r="F84" s="89" t="s">
        <v>2220</v>
      </c>
      <c r="G84" s="89">
        <f>VLOOKUP(F84,PACOTES!B:E,4,FALSE)</f>
        <v>6</v>
      </c>
      <c r="H84" s="89"/>
    </row>
    <row r="85" spans="1:8" ht="15.75" hidden="1">
      <c r="A85" s="95">
        <v>84</v>
      </c>
      <c r="B85" s="89" t="s">
        <v>218</v>
      </c>
      <c r="C85" s="90"/>
      <c r="D85" s="89">
        <f>COUNTIFS(EQUIPAMENTOS!$A:$A,A85,EQUIPAMENTOS!$F:$F,"&lt;&gt;FLIPERAMA",EQUIPAMENTOS!$F:$F,"&lt;&gt;VERIFICAR")</f>
        <v>1</v>
      </c>
      <c r="E85" s="89" t="s">
        <v>219</v>
      </c>
      <c r="F85" s="89" t="s">
        <v>2221</v>
      </c>
      <c r="G85" s="89">
        <f>VLOOKUP(F85,PACOTES!B:E,4,FALSE)</f>
        <v>5</v>
      </c>
      <c r="H85" s="89"/>
    </row>
    <row r="86" spans="1:8" ht="15.75" hidden="1">
      <c r="A86" s="95">
        <v>85</v>
      </c>
      <c r="B86" s="89" t="s">
        <v>220</v>
      </c>
      <c r="C86" s="90"/>
      <c r="D86" s="89">
        <f>COUNTIFS(EQUIPAMENTOS!$A:$A,A86,EQUIPAMENTOS!$F:$F,"&lt;&gt;FLIPERAMA",EQUIPAMENTOS!$F:$F,"&lt;&gt;VERIFICAR")</f>
        <v>1</v>
      </c>
      <c r="E86" s="89" t="s">
        <v>221</v>
      </c>
      <c r="F86" s="89" t="s">
        <v>2216</v>
      </c>
      <c r="G86" s="89">
        <f>VLOOKUP(F86,PACOTES!B:E,4,FALSE)</f>
        <v>10</v>
      </c>
      <c r="H86" s="89"/>
    </row>
    <row r="87" spans="1:8" ht="15.75" hidden="1">
      <c r="A87" s="95">
        <v>86</v>
      </c>
      <c r="B87" s="89" t="s">
        <v>222</v>
      </c>
      <c r="C87" s="90"/>
      <c r="D87" s="89">
        <f>COUNTIFS(EQUIPAMENTOS!$A:$A,A87,EQUIPAMENTOS!$F:$F,"&lt;&gt;FLIPERAMA",EQUIPAMENTOS!$F:$F,"&lt;&gt;VERIFICAR")</f>
        <v>2</v>
      </c>
      <c r="E87" s="89" t="s">
        <v>223</v>
      </c>
      <c r="F87" s="89" t="s">
        <v>2217</v>
      </c>
      <c r="G87" s="89">
        <f>VLOOKUP(F87,PACOTES!B:E,4,FALSE)</f>
        <v>9</v>
      </c>
      <c r="H87" s="89"/>
    </row>
    <row r="88" spans="1:8" ht="15.75" hidden="1">
      <c r="A88" s="95">
        <v>87</v>
      </c>
      <c r="B88" s="89" t="s">
        <v>224</v>
      </c>
      <c r="C88" s="90"/>
      <c r="D88" s="89">
        <f>COUNTIFS(EQUIPAMENTOS!$A:$A,A88,EQUIPAMENTOS!$F:$F,"&lt;&gt;FLIPERAMA",EQUIPAMENTOS!$F:$F,"&lt;&gt;VERIFICAR")</f>
        <v>2</v>
      </c>
      <c r="E88" s="89" t="s">
        <v>225</v>
      </c>
      <c r="F88" s="89" t="s">
        <v>2218</v>
      </c>
      <c r="G88" s="89">
        <f>VLOOKUP(F88,PACOTES!B:E,4,FALSE)</f>
        <v>8</v>
      </c>
      <c r="H88" s="89"/>
    </row>
    <row r="89" spans="1:8" ht="15.75" hidden="1">
      <c r="A89" s="95">
        <v>88</v>
      </c>
      <c r="B89" s="89" t="s">
        <v>226</v>
      </c>
      <c r="C89" s="90"/>
      <c r="D89" s="89">
        <f>COUNTIFS(EQUIPAMENTOS!$A:$A,A89,EQUIPAMENTOS!$F:$F,"&lt;&gt;FLIPERAMA",EQUIPAMENTOS!$F:$F,"&lt;&gt;VERIFICAR")</f>
        <v>1</v>
      </c>
      <c r="E89" s="89" t="s">
        <v>227</v>
      </c>
      <c r="F89" s="89" t="s">
        <v>2217</v>
      </c>
      <c r="G89" s="89">
        <f>VLOOKUP(F89,PACOTES!B:E,4,FALSE)</f>
        <v>9</v>
      </c>
      <c r="H89" s="89"/>
    </row>
    <row r="90" spans="1:8" ht="15.75" hidden="1">
      <c r="A90" s="95">
        <v>89</v>
      </c>
      <c r="B90" s="89" t="s">
        <v>228</v>
      </c>
      <c r="C90" s="90"/>
      <c r="D90" s="89">
        <f>COUNTIFS(EQUIPAMENTOS!$A:$A,A90,EQUIPAMENTOS!$F:$F,"&lt;&gt;FLIPERAMA",EQUIPAMENTOS!$F:$F,"&lt;&gt;VERIFICAR")</f>
        <v>3</v>
      </c>
      <c r="E90" s="89" t="s">
        <v>229</v>
      </c>
      <c r="F90" s="89" t="s">
        <v>2220</v>
      </c>
      <c r="G90" s="89">
        <f>VLOOKUP(F90,PACOTES!B:E,4,FALSE)</f>
        <v>6</v>
      </c>
      <c r="H90" s="89"/>
    </row>
    <row r="91" spans="1:8" ht="15.75" hidden="1">
      <c r="A91" s="95">
        <v>90</v>
      </c>
      <c r="B91" s="89" t="s">
        <v>230</v>
      </c>
      <c r="C91" s="90"/>
      <c r="D91" s="89">
        <f>COUNTIFS(EQUIPAMENTOS!$A:$A,A91,EQUIPAMENTOS!$F:$F,"&lt;&gt;FLIPERAMA",EQUIPAMENTOS!$F:$F,"&lt;&gt;VERIFICAR")</f>
        <v>1</v>
      </c>
      <c r="E91" s="89" t="s">
        <v>231</v>
      </c>
      <c r="F91" s="89" t="s">
        <v>2225</v>
      </c>
      <c r="G91" s="89">
        <f>VLOOKUP(F91,PACOTES!B:E,4,FALSE)</f>
        <v>1</v>
      </c>
      <c r="H91" s="89"/>
    </row>
    <row r="92" spans="1:8" ht="15.75" hidden="1">
      <c r="A92" s="95">
        <v>91</v>
      </c>
      <c r="B92" s="89" t="s">
        <v>232</v>
      </c>
      <c r="C92" s="90"/>
      <c r="D92" s="89">
        <f>COUNTIFS(EQUIPAMENTOS!$A:$A,A92,EQUIPAMENTOS!$F:$F,"&lt;&gt;FLIPERAMA",EQUIPAMENTOS!$F:$F,"&lt;&gt;VERIFICAR")</f>
        <v>1</v>
      </c>
      <c r="E92" s="89" t="s">
        <v>233</v>
      </c>
      <c r="F92" s="89" t="s">
        <v>2223</v>
      </c>
      <c r="G92" s="89">
        <f>VLOOKUP(F92,PACOTES!B:E,4,FALSE)</f>
        <v>3</v>
      </c>
      <c r="H92" s="89"/>
    </row>
    <row r="93" spans="1:8" ht="15.75" hidden="1">
      <c r="A93" s="95">
        <v>92</v>
      </c>
      <c r="B93" s="89" t="s">
        <v>234</v>
      </c>
      <c r="C93" s="90"/>
      <c r="D93" s="89">
        <f>COUNTIFS(EQUIPAMENTOS!$A:$A,A93,EQUIPAMENTOS!$F:$F,"&lt;&gt;FLIPERAMA",EQUIPAMENTOS!$F:$F,"&lt;&gt;VERIFICAR")</f>
        <v>1</v>
      </c>
      <c r="E93" s="89" t="s">
        <v>235</v>
      </c>
      <c r="F93" s="89" t="s">
        <v>2219</v>
      </c>
      <c r="G93" s="89">
        <f>VLOOKUP(F93,PACOTES!B:E,4,FALSE)</f>
        <v>7</v>
      </c>
      <c r="H93" s="89"/>
    </row>
    <row r="94" spans="1:8" ht="15.75" hidden="1">
      <c r="A94" s="95">
        <v>93</v>
      </c>
      <c r="B94" s="89" t="s">
        <v>236</v>
      </c>
      <c r="C94" s="90"/>
      <c r="D94" s="89">
        <f>COUNTIFS(EQUIPAMENTOS!$A:$A,A94,EQUIPAMENTOS!$F:$F,"&lt;&gt;FLIPERAMA",EQUIPAMENTOS!$F:$F,"&lt;&gt;VERIFICAR")</f>
        <v>2</v>
      </c>
      <c r="E94" s="89" t="s">
        <v>237</v>
      </c>
      <c r="F94" s="89" t="s">
        <v>2223</v>
      </c>
      <c r="G94" s="89">
        <f>VLOOKUP(F94,PACOTES!B:E,4,FALSE)</f>
        <v>3</v>
      </c>
      <c r="H94" s="89"/>
    </row>
    <row r="95" spans="1:8" ht="15.75" hidden="1">
      <c r="A95" s="95">
        <v>94</v>
      </c>
      <c r="B95" s="89" t="s">
        <v>238</v>
      </c>
      <c r="C95" s="90"/>
      <c r="D95" s="89">
        <f>COUNTIFS(EQUIPAMENTOS!$A:$A,A95,EQUIPAMENTOS!$F:$F,"&lt;&gt;FLIPERAMA",EQUIPAMENTOS!$F:$F,"&lt;&gt;VERIFICAR")</f>
        <v>1</v>
      </c>
      <c r="E95" s="89" t="s">
        <v>239</v>
      </c>
      <c r="F95" s="89" t="s">
        <v>2222</v>
      </c>
      <c r="G95" s="89">
        <f>VLOOKUP(F95,PACOTES!B:E,4,FALSE)</f>
        <v>4</v>
      </c>
      <c r="H95" s="89"/>
    </row>
    <row r="96" spans="1:8" ht="15.75" hidden="1">
      <c r="A96" s="95">
        <v>95</v>
      </c>
      <c r="B96" s="89" t="s">
        <v>240</v>
      </c>
      <c r="C96" s="90"/>
      <c r="D96" s="89">
        <f>COUNTIFS(EQUIPAMENTOS!$A:$A,A96,EQUIPAMENTOS!$F:$F,"&lt;&gt;FLIPERAMA",EQUIPAMENTOS!$F:$F,"&lt;&gt;VERIFICAR")</f>
        <v>1</v>
      </c>
      <c r="E96" s="89" t="s">
        <v>241</v>
      </c>
      <c r="F96" s="89" t="s">
        <v>2218</v>
      </c>
      <c r="G96" s="89">
        <f>VLOOKUP(F96,PACOTES!B:E,4,FALSE)</f>
        <v>8</v>
      </c>
      <c r="H96" s="89"/>
    </row>
    <row r="97" spans="1:8" ht="31.5" hidden="1">
      <c r="A97" s="95">
        <v>96</v>
      </c>
      <c r="B97" s="89" t="s">
        <v>242</v>
      </c>
      <c r="C97" s="90" t="s">
        <v>243</v>
      </c>
      <c r="D97" s="89">
        <f>COUNTIFS(EQUIPAMENTOS!$A:$A,A97,EQUIPAMENTOS!$F:$F,"&lt;&gt;FLIPERAMA",EQUIPAMENTOS!$F:$F,"&lt;&gt;VERIFICAR")</f>
        <v>1</v>
      </c>
      <c r="E97" s="89">
        <v>21979940462</v>
      </c>
      <c r="F97" s="89" t="s">
        <v>2226</v>
      </c>
      <c r="G97" s="89">
        <f>VLOOKUP(F97,PACOTES!B:E,4,FALSE)</f>
        <v>0</v>
      </c>
      <c r="H97" s="89" t="s">
        <v>134</v>
      </c>
    </row>
    <row r="98" spans="1:8" ht="15.75" hidden="1">
      <c r="A98" s="95">
        <v>97</v>
      </c>
      <c r="B98" s="89" t="s">
        <v>244</v>
      </c>
      <c r="C98" s="90"/>
      <c r="D98" s="89">
        <f>COUNTIFS(EQUIPAMENTOS!$A:$A,A98,EQUIPAMENTOS!$F:$F,"&lt;&gt;FLIPERAMA",EQUIPAMENTOS!$F:$F,"&lt;&gt;VERIFICAR")</f>
        <v>3</v>
      </c>
      <c r="E98" s="89" t="s">
        <v>245</v>
      </c>
      <c r="F98" s="89" t="s">
        <v>2218</v>
      </c>
      <c r="G98" s="89">
        <f>VLOOKUP(F98,PACOTES!B:E,4,FALSE)</f>
        <v>8</v>
      </c>
      <c r="H98" s="89"/>
    </row>
    <row r="99" spans="1:8" ht="15.75" hidden="1">
      <c r="A99" s="95">
        <v>98</v>
      </c>
      <c r="B99" s="89" t="s">
        <v>246</v>
      </c>
      <c r="C99" s="90"/>
      <c r="D99" s="89">
        <f>COUNTIFS(EQUIPAMENTOS!$A:$A,A99,EQUIPAMENTOS!$F:$F,"&lt;&gt;FLIPERAMA",EQUIPAMENTOS!$F:$F,"&lt;&gt;VERIFICAR")</f>
        <v>1</v>
      </c>
      <c r="E99" s="89" t="s">
        <v>247</v>
      </c>
      <c r="F99" s="89" t="s">
        <v>2217</v>
      </c>
      <c r="G99" s="89">
        <f>VLOOKUP(F99,PACOTES!B:E,4,FALSE)</f>
        <v>9</v>
      </c>
      <c r="H99" s="89"/>
    </row>
    <row r="100" spans="1:8" ht="15.75" hidden="1">
      <c r="A100" s="95">
        <v>99</v>
      </c>
      <c r="B100" s="89" t="s">
        <v>248</v>
      </c>
      <c r="C100" s="90"/>
      <c r="D100" s="89">
        <f>COUNTIFS(EQUIPAMENTOS!$A:$A,A100,EQUIPAMENTOS!$F:$F,"&lt;&gt;FLIPERAMA",EQUIPAMENTOS!$F:$F,"&lt;&gt;VERIFICAR")</f>
        <v>1</v>
      </c>
      <c r="E100" s="89" t="s">
        <v>249</v>
      </c>
      <c r="F100" s="89" t="s">
        <v>2218</v>
      </c>
      <c r="G100" s="89">
        <f>VLOOKUP(F100,PACOTES!B:E,4,FALSE)</f>
        <v>8</v>
      </c>
      <c r="H100" s="89"/>
    </row>
    <row r="101" spans="1:8" ht="15.75" hidden="1">
      <c r="A101" s="95">
        <v>100</v>
      </c>
      <c r="B101" s="89" t="s">
        <v>250</v>
      </c>
      <c r="C101" s="90"/>
      <c r="D101" s="89">
        <f>COUNTIFS(EQUIPAMENTOS!$A:$A,A101,EQUIPAMENTOS!$F:$F,"&lt;&gt;FLIPERAMA",EQUIPAMENTOS!$F:$F,"&lt;&gt;VERIFICAR")</f>
        <v>3</v>
      </c>
      <c r="E101" s="89" t="s">
        <v>251</v>
      </c>
      <c r="F101" s="89" t="s">
        <v>2218</v>
      </c>
      <c r="G101" s="89">
        <f>VLOOKUP(F101,PACOTES!B:E,4,FALSE)</f>
        <v>8</v>
      </c>
      <c r="H101" s="89"/>
    </row>
    <row r="102" spans="1:8" ht="15.75" hidden="1">
      <c r="A102" s="95">
        <v>101</v>
      </c>
      <c r="B102" s="89" t="s">
        <v>252</v>
      </c>
      <c r="C102" s="90"/>
      <c r="D102" s="89">
        <f>COUNTIFS(EQUIPAMENTOS!$A:$A,A102,EQUIPAMENTOS!$F:$F,"&lt;&gt;FLIPERAMA",EQUIPAMENTOS!$F:$F,"&lt;&gt;VERIFICAR")</f>
        <v>1</v>
      </c>
      <c r="E102" s="89" t="s">
        <v>253</v>
      </c>
      <c r="F102" s="89" t="s">
        <v>2217</v>
      </c>
      <c r="G102" s="89">
        <f>VLOOKUP(F102,PACOTES!B:E,4,FALSE)</f>
        <v>9</v>
      </c>
      <c r="H102" s="89"/>
    </row>
    <row r="103" spans="1:8" ht="15.75" hidden="1">
      <c r="A103" s="95">
        <v>102</v>
      </c>
      <c r="B103" s="89" t="s">
        <v>254</v>
      </c>
      <c r="C103" s="90"/>
      <c r="D103" s="89">
        <f>COUNTIFS(EQUIPAMENTOS!$A:$A,A103,EQUIPAMENTOS!$F:$F,"&lt;&gt;FLIPERAMA",EQUIPAMENTOS!$F:$F,"&lt;&gt;VERIFICAR")</f>
        <v>1</v>
      </c>
      <c r="E103" s="89" t="s">
        <v>255</v>
      </c>
      <c r="F103" s="89" t="s">
        <v>2218</v>
      </c>
      <c r="G103" s="89">
        <f>VLOOKUP(F103,PACOTES!B:E,4,FALSE)</f>
        <v>8</v>
      </c>
      <c r="H103" s="89"/>
    </row>
    <row r="104" spans="1:8" ht="15.75" hidden="1">
      <c r="A104" s="95">
        <v>103</v>
      </c>
      <c r="B104" s="89" t="s">
        <v>256</v>
      </c>
      <c r="C104" s="90"/>
      <c r="D104" s="89">
        <f>COUNTIFS(EQUIPAMENTOS!$A:$A,A104,EQUIPAMENTOS!$F:$F,"&lt;&gt;FLIPERAMA",EQUIPAMENTOS!$F:$F,"&lt;&gt;VERIFICAR")</f>
        <v>1</v>
      </c>
      <c r="E104" s="89" t="s">
        <v>257</v>
      </c>
      <c r="F104" s="89" t="s">
        <v>2221</v>
      </c>
      <c r="G104" s="89">
        <f>VLOOKUP(F104,PACOTES!B:E,4,FALSE)</f>
        <v>5</v>
      </c>
      <c r="H104" s="89"/>
    </row>
    <row r="105" spans="1:8" ht="15.75" hidden="1">
      <c r="A105" s="95">
        <v>104</v>
      </c>
      <c r="B105" s="89" t="s">
        <v>258</v>
      </c>
      <c r="C105" s="90"/>
      <c r="D105" s="89">
        <f>COUNTIFS(EQUIPAMENTOS!$A:$A,A105,EQUIPAMENTOS!$F:$F,"&lt;&gt;FLIPERAMA",EQUIPAMENTOS!$F:$F,"&lt;&gt;VERIFICAR")</f>
        <v>1</v>
      </c>
      <c r="E105" s="89" t="s">
        <v>259</v>
      </c>
      <c r="F105" s="89" t="s">
        <v>2218</v>
      </c>
      <c r="G105" s="89">
        <f>VLOOKUP(F105,PACOTES!B:E,4,FALSE)</f>
        <v>8</v>
      </c>
      <c r="H105" s="89"/>
    </row>
    <row r="106" spans="1:8" ht="15.75" hidden="1">
      <c r="A106" s="95">
        <v>105</v>
      </c>
      <c r="B106" s="89" t="s">
        <v>260</v>
      </c>
      <c r="C106" s="90"/>
      <c r="D106" s="89">
        <f>COUNTIFS(EQUIPAMENTOS!$A:$A,A106,EQUIPAMENTOS!$F:$F,"&lt;&gt;FLIPERAMA",EQUIPAMENTOS!$F:$F,"&lt;&gt;VERIFICAR")</f>
        <v>1</v>
      </c>
      <c r="E106" s="89" t="s">
        <v>261</v>
      </c>
      <c r="F106" s="89" t="s">
        <v>2221</v>
      </c>
      <c r="G106" s="89">
        <f>VLOOKUP(F106,PACOTES!B:E,4,FALSE)</f>
        <v>5</v>
      </c>
      <c r="H106" s="89"/>
    </row>
    <row r="107" spans="1:8" ht="15.75" hidden="1">
      <c r="A107" s="95">
        <v>106</v>
      </c>
      <c r="B107" s="89" t="s">
        <v>262</v>
      </c>
      <c r="C107" s="90"/>
      <c r="D107" s="89">
        <f>COUNTIFS(EQUIPAMENTOS!$A:$A,A107,EQUIPAMENTOS!$F:$F,"&lt;&gt;FLIPERAMA",EQUIPAMENTOS!$F:$F,"&lt;&gt;VERIFICAR")</f>
        <v>1</v>
      </c>
      <c r="E107" s="89" t="s">
        <v>263</v>
      </c>
      <c r="F107" s="89" t="s">
        <v>2222</v>
      </c>
      <c r="G107" s="89">
        <f>VLOOKUP(F107,PACOTES!B:E,4,FALSE)</f>
        <v>4</v>
      </c>
      <c r="H107" s="89"/>
    </row>
    <row r="108" spans="1:8" ht="15.75" hidden="1">
      <c r="A108" s="95">
        <v>107</v>
      </c>
      <c r="B108" s="89" t="s">
        <v>264</v>
      </c>
      <c r="C108" s="90"/>
      <c r="D108" s="89">
        <f>COUNTIFS(EQUIPAMENTOS!$A:$A,A108,EQUIPAMENTOS!$F:$F,"&lt;&gt;FLIPERAMA",EQUIPAMENTOS!$F:$F,"&lt;&gt;VERIFICAR")</f>
        <v>1</v>
      </c>
      <c r="E108" s="89" t="s">
        <v>265</v>
      </c>
      <c r="F108" s="89" t="s">
        <v>2217</v>
      </c>
      <c r="G108" s="89">
        <f>VLOOKUP(F108,PACOTES!B:E,4,FALSE)</f>
        <v>9</v>
      </c>
      <c r="H108" s="89"/>
    </row>
    <row r="109" spans="1:8" ht="15.75" hidden="1">
      <c r="A109" s="95">
        <v>108</v>
      </c>
      <c r="B109" s="89" t="s">
        <v>266</v>
      </c>
      <c r="C109" s="90"/>
      <c r="D109" s="89">
        <f>COUNTIFS(EQUIPAMENTOS!$A:$A,A109,EQUIPAMENTOS!$F:$F,"&lt;&gt;FLIPERAMA",EQUIPAMENTOS!$F:$F,"&lt;&gt;VERIFICAR")</f>
        <v>2</v>
      </c>
      <c r="E109" s="89" t="s">
        <v>267</v>
      </c>
      <c r="F109" s="89" t="s">
        <v>2220</v>
      </c>
      <c r="G109" s="89">
        <f>VLOOKUP(F109,PACOTES!B:E,4,FALSE)</f>
        <v>6</v>
      </c>
      <c r="H109" s="89"/>
    </row>
    <row r="110" spans="1:8" ht="15.75" hidden="1">
      <c r="A110" s="95">
        <v>109</v>
      </c>
      <c r="B110" s="89" t="s">
        <v>268</v>
      </c>
      <c r="C110" s="90"/>
      <c r="D110" s="89">
        <f>COUNTIFS(EQUIPAMENTOS!$A:$A,A110,EQUIPAMENTOS!$F:$F,"&lt;&gt;FLIPERAMA",EQUIPAMENTOS!$F:$F,"&lt;&gt;VERIFICAR")</f>
        <v>2</v>
      </c>
      <c r="E110" s="89" t="s">
        <v>269</v>
      </c>
      <c r="F110" s="89" t="s">
        <v>2224</v>
      </c>
      <c r="G110" s="89">
        <f>VLOOKUP(F110,PACOTES!B:E,4,FALSE)</f>
        <v>2</v>
      </c>
      <c r="H110" s="89"/>
    </row>
    <row r="111" spans="1:8" ht="15.75" hidden="1">
      <c r="A111" s="95">
        <v>110</v>
      </c>
      <c r="B111" s="89" t="s">
        <v>270</v>
      </c>
      <c r="C111" s="90"/>
      <c r="D111" s="89">
        <f>COUNTIFS(EQUIPAMENTOS!$A:$A,A111,EQUIPAMENTOS!$F:$F,"&lt;&gt;FLIPERAMA",EQUIPAMENTOS!$F:$F,"&lt;&gt;VERIFICAR")</f>
        <v>1</v>
      </c>
      <c r="E111" s="89" t="s">
        <v>271</v>
      </c>
      <c r="F111" s="89" t="s">
        <v>2221</v>
      </c>
      <c r="G111" s="89">
        <f>VLOOKUP(F111,PACOTES!B:E,4,FALSE)</f>
        <v>5</v>
      </c>
      <c r="H111" s="89"/>
    </row>
    <row r="112" spans="1:8" ht="15.75" hidden="1">
      <c r="A112" s="95">
        <v>111</v>
      </c>
      <c r="B112" s="89" t="s">
        <v>272</v>
      </c>
      <c r="C112" s="90"/>
      <c r="D112" s="89">
        <f>COUNTIFS(EQUIPAMENTOS!$A:$A,A112,EQUIPAMENTOS!$F:$F,"&lt;&gt;FLIPERAMA",EQUIPAMENTOS!$F:$F,"&lt;&gt;VERIFICAR")</f>
        <v>1</v>
      </c>
      <c r="E112" s="89" t="s">
        <v>273</v>
      </c>
      <c r="F112" s="89" t="s">
        <v>2217</v>
      </c>
      <c r="G112" s="89">
        <f>VLOOKUP(F112,PACOTES!B:E,4,FALSE)</f>
        <v>9</v>
      </c>
      <c r="H112" s="89"/>
    </row>
    <row r="113" spans="1:8" ht="15.75" hidden="1">
      <c r="A113" s="95">
        <v>112</v>
      </c>
      <c r="B113" s="89" t="s">
        <v>274</v>
      </c>
      <c r="C113" s="90"/>
      <c r="D113" s="89">
        <f>COUNTIFS(EQUIPAMENTOS!$A:$A,A113,EQUIPAMENTOS!$F:$F,"&lt;&gt;FLIPERAMA",EQUIPAMENTOS!$F:$F,"&lt;&gt;VERIFICAR")</f>
        <v>1</v>
      </c>
      <c r="E113" s="89" t="s">
        <v>275</v>
      </c>
      <c r="F113" s="89" t="s">
        <v>2218</v>
      </c>
      <c r="G113" s="89">
        <f>VLOOKUP(F113,PACOTES!B:E,4,FALSE)</f>
        <v>8</v>
      </c>
      <c r="H113" s="89"/>
    </row>
    <row r="114" spans="1:8" ht="15.75" hidden="1">
      <c r="A114" s="95">
        <v>113</v>
      </c>
      <c r="B114" s="89" t="s">
        <v>276</v>
      </c>
      <c r="C114" s="90"/>
      <c r="D114" s="89">
        <f>COUNTIFS(EQUIPAMENTOS!$A:$A,A114,EQUIPAMENTOS!$F:$F,"&lt;&gt;FLIPERAMA",EQUIPAMENTOS!$F:$F,"&lt;&gt;VERIFICAR")</f>
        <v>1</v>
      </c>
      <c r="E114" s="89" t="s">
        <v>277</v>
      </c>
      <c r="F114" s="89" t="s">
        <v>2224</v>
      </c>
      <c r="G114" s="89">
        <f>VLOOKUP(F114,PACOTES!B:E,4,FALSE)</f>
        <v>2</v>
      </c>
      <c r="H114" s="89"/>
    </row>
    <row r="115" spans="1:8" ht="15.75" hidden="1">
      <c r="A115" s="95">
        <v>114</v>
      </c>
      <c r="B115" s="89" t="s">
        <v>278</v>
      </c>
      <c r="C115" s="90"/>
      <c r="D115" s="89">
        <f>COUNTIFS(EQUIPAMENTOS!$A:$A,A115,EQUIPAMENTOS!$F:$F,"&lt;&gt;FLIPERAMA",EQUIPAMENTOS!$F:$F,"&lt;&gt;VERIFICAR")</f>
        <v>1</v>
      </c>
      <c r="E115" s="89" t="s">
        <v>279</v>
      </c>
      <c r="F115" s="89" t="s">
        <v>2223</v>
      </c>
      <c r="G115" s="89">
        <f>VLOOKUP(F115,PACOTES!B:E,4,FALSE)</f>
        <v>3</v>
      </c>
      <c r="H115" s="89"/>
    </row>
    <row r="116" spans="1:8" ht="15.75" hidden="1">
      <c r="A116" s="95">
        <v>115</v>
      </c>
      <c r="B116" s="89" t="s">
        <v>280</v>
      </c>
      <c r="C116" s="90"/>
      <c r="D116" s="89">
        <f>COUNTIFS(EQUIPAMENTOS!$A:$A,A116,EQUIPAMENTOS!$F:$F,"&lt;&gt;FLIPERAMA",EQUIPAMENTOS!$F:$F,"&lt;&gt;VERIFICAR")</f>
        <v>1</v>
      </c>
      <c r="E116" s="89" t="s">
        <v>281</v>
      </c>
      <c r="F116" s="89" t="s">
        <v>2223</v>
      </c>
      <c r="G116" s="89">
        <f>VLOOKUP(F116,PACOTES!B:E,4,FALSE)</f>
        <v>3</v>
      </c>
      <c r="H116" s="89"/>
    </row>
    <row r="117" spans="1:8" ht="15.75" hidden="1">
      <c r="A117" s="95">
        <v>116</v>
      </c>
      <c r="B117" s="89" t="s">
        <v>282</v>
      </c>
      <c r="C117" s="90"/>
      <c r="D117" s="89">
        <f>COUNTIFS(EQUIPAMENTOS!$A:$A,A117,EQUIPAMENTOS!$F:$F,"&lt;&gt;FLIPERAMA",EQUIPAMENTOS!$F:$F,"&lt;&gt;VERIFICAR")</f>
        <v>1</v>
      </c>
      <c r="E117" s="89" t="s">
        <v>283</v>
      </c>
      <c r="F117" s="89" t="s">
        <v>2218</v>
      </c>
      <c r="G117" s="89">
        <f>VLOOKUP(F117,PACOTES!B:E,4,FALSE)</f>
        <v>8</v>
      </c>
      <c r="H117" s="89"/>
    </row>
    <row r="118" spans="1:8" ht="15.75" hidden="1">
      <c r="A118" s="95">
        <v>117</v>
      </c>
      <c r="B118" s="89" t="s">
        <v>284</v>
      </c>
      <c r="C118" s="90"/>
      <c r="D118" s="89">
        <f>COUNTIFS(EQUIPAMENTOS!$A:$A,A118,EQUIPAMENTOS!$F:$F,"&lt;&gt;FLIPERAMA",EQUIPAMENTOS!$F:$F,"&lt;&gt;VERIFICAR")</f>
        <v>1</v>
      </c>
      <c r="E118" s="89" t="s">
        <v>285</v>
      </c>
      <c r="F118" s="89" t="s">
        <v>2218</v>
      </c>
      <c r="G118" s="89">
        <f>VLOOKUP(F118,PACOTES!B:E,4,FALSE)</f>
        <v>8</v>
      </c>
      <c r="H118" s="89"/>
    </row>
    <row r="119" spans="1:8" ht="15.75" hidden="1">
      <c r="A119" s="95">
        <v>118</v>
      </c>
      <c r="B119" s="89" t="s">
        <v>286</v>
      </c>
      <c r="C119" s="90"/>
      <c r="D119" s="89">
        <f>COUNTIFS(EQUIPAMENTOS!$A:$A,A119,EQUIPAMENTOS!$F:$F,"&lt;&gt;FLIPERAMA",EQUIPAMENTOS!$F:$F,"&lt;&gt;VERIFICAR")</f>
        <v>1</v>
      </c>
      <c r="E119" s="89" t="s">
        <v>287</v>
      </c>
      <c r="F119" s="89" t="s">
        <v>2222</v>
      </c>
      <c r="G119" s="89">
        <f>VLOOKUP(F119,PACOTES!B:E,4,FALSE)</f>
        <v>4</v>
      </c>
      <c r="H119" s="89"/>
    </row>
    <row r="120" spans="1:8" ht="15.75" hidden="1">
      <c r="A120" s="95">
        <v>119</v>
      </c>
      <c r="B120" s="89" t="s">
        <v>288</v>
      </c>
      <c r="C120" s="90"/>
      <c r="D120" s="89">
        <f>COUNTIFS(EQUIPAMENTOS!$A:$A,A120,EQUIPAMENTOS!$F:$F,"&lt;&gt;FLIPERAMA",EQUIPAMENTOS!$F:$F,"&lt;&gt;VERIFICAR")</f>
        <v>1</v>
      </c>
      <c r="E120" s="89" t="s">
        <v>289</v>
      </c>
      <c r="F120" s="89" t="s">
        <v>2221</v>
      </c>
      <c r="G120" s="89">
        <f>VLOOKUP(F120,PACOTES!B:E,4,FALSE)</f>
        <v>5</v>
      </c>
      <c r="H120" s="89"/>
    </row>
    <row r="121" spans="1:8" ht="15.75" hidden="1">
      <c r="A121" s="95">
        <v>120</v>
      </c>
      <c r="B121" s="89" t="s">
        <v>290</v>
      </c>
      <c r="C121" s="90"/>
      <c r="D121" s="89">
        <f>COUNTIFS(EQUIPAMENTOS!$A:$A,A121,EQUIPAMENTOS!$F:$F,"&lt;&gt;FLIPERAMA",EQUIPAMENTOS!$F:$F,"&lt;&gt;VERIFICAR")</f>
        <v>3</v>
      </c>
      <c r="E121" s="89" t="s">
        <v>291</v>
      </c>
      <c r="F121" s="89" t="s">
        <v>2221</v>
      </c>
      <c r="G121" s="89">
        <f>VLOOKUP(F121,PACOTES!B:E,4,FALSE)</f>
        <v>5</v>
      </c>
      <c r="H121" s="89"/>
    </row>
    <row r="122" spans="1:8" ht="15.75" hidden="1">
      <c r="A122" s="95">
        <v>121</v>
      </c>
      <c r="B122" s="89" t="s">
        <v>292</v>
      </c>
      <c r="C122" s="90"/>
      <c r="D122" s="89">
        <f>COUNTIFS(EQUIPAMENTOS!$A:$A,A122,EQUIPAMENTOS!$F:$F,"&lt;&gt;FLIPERAMA",EQUIPAMENTOS!$F:$F,"&lt;&gt;VERIFICAR")</f>
        <v>1</v>
      </c>
      <c r="E122" s="89" t="s">
        <v>293</v>
      </c>
      <c r="F122" s="89" t="s">
        <v>2222</v>
      </c>
      <c r="G122" s="89">
        <f>VLOOKUP(F122,PACOTES!B:E,4,FALSE)</f>
        <v>4</v>
      </c>
      <c r="H122" s="89"/>
    </row>
    <row r="123" spans="1:8" ht="15.75" hidden="1">
      <c r="A123" s="95">
        <v>122</v>
      </c>
      <c r="B123" s="89" t="s">
        <v>294</v>
      </c>
      <c r="C123" s="90"/>
      <c r="D123" s="89">
        <f>COUNTIFS(EQUIPAMENTOS!$A:$A,A123,EQUIPAMENTOS!$F:$F,"&lt;&gt;FLIPERAMA",EQUIPAMENTOS!$F:$F,"&lt;&gt;VERIFICAR")</f>
        <v>1</v>
      </c>
      <c r="E123" s="89" t="s">
        <v>295</v>
      </c>
      <c r="F123" s="89" t="s">
        <v>2221</v>
      </c>
      <c r="G123" s="89">
        <f>VLOOKUP(F123,PACOTES!B:E,4,FALSE)</f>
        <v>5</v>
      </c>
      <c r="H123" s="89"/>
    </row>
    <row r="124" spans="1:8" ht="15.75" hidden="1">
      <c r="A124" s="95">
        <v>123</v>
      </c>
      <c r="B124" s="89" t="s">
        <v>296</v>
      </c>
      <c r="C124" s="90"/>
      <c r="D124" s="89">
        <f>COUNTIFS(EQUIPAMENTOS!$A:$A,A124,EQUIPAMENTOS!$F:$F,"&lt;&gt;FLIPERAMA",EQUIPAMENTOS!$F:$F,"&lt;&gt;VERIFICAR")</f>
        <v>1</v>
      </c>
      <c r="E124" s="89" t="s">
        <v>297</v>
      </c>
      <c r="F124" s="89" t="s">
        <v>2217</v>
      </c>
      <c r="G124" s="89">
        <f>VLOOKUP(F124,PACOTES!B:E,4,FALSE)</f>
        <v>9</v>
      </c>
      <c r="H124" s="89"/>
    </row>
    <row r="125" spans="1:8" ht="15.75" hidden="1">
      <c r="A125" s="95">
        <v>124</v>
      </c>
      <c r="B125" s="89" t="s">
        <v>298</v>
      </c>
      <c r="C125" s="90"/>
      <c r="D125" s="89">
        <f>COUNTIFS(EQUIPAMENTOS!$A:$A,A125,EQUIPAMENTOS!$F:$F,"&lt;&gt;FLIPERAMA",EQUIPAMENTOS!$F:$F,"&lt;&gt;VERIFICAR")</f>
        <v>1</v>
      </c>
      <c r="E125" s="89" t="s">
        <v>299</v>
      </c>
      <c r="F125" s="89" t="s">
        <v>2225</v>
      </c>
      <c r="G125" s="89">
        <f>VLOOKUP(F125,PACOTES!B:E,4,FALSE)</f>
        <v>1</v>
      </c>
      <c r="H125" s="89"/>
    </row>
    <row r="126" spans="1:8" ht="15.75" hidden="1">
      <c r="A126" s="95">
        <v>125</v>
      </c>
      <c r="B126" s="89" t="s">
        <v>300</v>
      </c>
      <c r="C126" s="90"/>
      <c r="D126" s="89">
        <f>COUNTIFS(EQUIPAMENTOS!$A:$A,A126,EQUIPAMENTOS!$F:$F,"&lt;&gt;FLIPERAMA",EQUIPAMENTOS!$F:$F,"&lt;&gt;VERIFICAR")</f>
        <v>1</v>
      </c>
      <c r="E126" s="89" t="s">
        <v>301</v>
      </c>
      <c r="F126" s="89" t="s">
        <v>2225</v>
      </c>
      <c r="G126" s="89">
        <f>VLOOKUP(F126,PACOTES!B:E,4,FALSE)</f>
        <v>1</v>
      </c>
      <c r="H126" s="89"/>
    </row>
    <row r="127" spans="1:8" ht="15.75" hidden="1">
      <c r="A127" s="95">
        <v>126</v>
      </c>
      <c r="B127" s="89" t="s">
        <v>302</v>
      </c>
      <c r="C127" s="90"/>
      <c r="D127" s="89">
        <f>COUNTIFS(EQUIPAMENTOS!$A:$A,A127,EQUIPAMENTOS!$F:$F,"&lt;&gt;FLIPERAMA",EQUIPAMENTOS!$F:$F,"&lt;&gt;VERIFICAR")</f>
        <v>0</v>
      </c>
      <c r="E127" s="89">
        <v>21972013633</v>
      </c>
      <c r="F127" s="89" t="s">
        <v>2226</v>
      </c>
      <c r="G127" s="89">
        <f>VLOOKUP(F127,PACOTES!B:E,4,FALSE)</f>
        <v>0</v>
      </c>
      <c r="H127" s="89"/>
    </row>
    <row r="128" spans="1:8" ht="15.75" hidden="1">
      <c r="A128" s="95">
        <v>127</v>
      </c>
      <c r="B128" s="89" t="s">
        <v>303</v>
      </c>
      <c r="C128" s="90"/>
      <c r="D128" s="89">
        <f>COUNTIFS(EQUIPAMENTOS!$A:$A,A128,EQUIPAMENTOS!$F:$F,"&lt;&gt;FLIPERAMA",EQUIPAMENTOS!$F:$F,"&lt;&gt;VERIFICAR")</f>
        <v>1</v>
      </c>
      <c r="E128" s="89" t="s">
        <v>304</v>
      </c>
      <c r="F128" s="89" t="s">
        <v>2215</v>
      </c>
      <c r="G128" s="89">
        <f>VLOOKUP(F128,PACOTES!B:E,4,FALSE)</f>
        <v>11</v>
      </c>
      <c r="H128" s="89"/>
    </row>
    <row r="129" spans="1:8" ht="15.75" hidden="1">
      <c r="A129" s="95">
        <v>128</v>
      </c>
      <c r="B129" s="89" t="s">
        <v>305</v>
      </c>
      <c r="C129" s="90"/>
      <c r="D129" s="89">
        <f>COUNTIFS(EQUIPAMENTOS!$A:$A,A129,EQUIPAMENTOS!$F:$F,"&lt;&gt;FLIPERAMA",EQUIPAMENTOS!$F:$F,"&lt;&gt;VERIFICAR")</f>
        <v>1</v>
      </c>
      <c r="E129" s="89" t="s">
        <v>306</v>
      </c>
      <c r="F129" s="89" t="s">
        <v>2221</v>
      </c>
      <c r="G129" s="89">
        <f>VLOOKUP(F129,PACOTES!B:E,4,FALSE)</f>
        <v>5</v>
      </c>
      <c r="H129" s="89"/>
    </row>
    <row r="130" spans="1:8" ht="15.75" hidden="1">
      <c r="A130" s="95">
        <v>129</v>
      </c>
      <c r="B130" s="89" t="s">
        <v>307</v>
      </c>
      <c r="C130" s="90"/>
      <c r="D130" s="89">
        <f>COUNTIFS(EQUIPAMENTOS!$A:$A,A130,EQUIPAMENTOS!$F:$F,"&lt;&gt;FLIPERAMA",EQUIPAMENTOS!$F:$F,"&lt;&gt;VERIFICAR")</f>
        <v>1</v>
      </c>
      <c r="E130" s="89" t="s">
        <v>308</v>
      </c>
      <c r="F130" s="89" t="s">
        <v>2221</v>
      </c>
      <c r="G130" s="89">
        <f>VLOOKUP(F130,PACOTES!B:E,4,FALSE)</f>
        <v>5</v>
      </c>
      <c r="H130" s="89"/>
    </row>
    <row r="131" spans="1:8" ht="15.75" hidden="1">
      <c r="A131" s="95">
        <v>130</v>
      </c>
      <c r="B131" s="89" t="s">
        <v>309</v>
      </c>
      <c r="C131" s="90"/>
      <c r="D131" s="89">
        <f>COUNTIFS(EQUIPAMENTOS!$A:$A,A131,EQUIPAMENTOS!$F:$F,"&lt;&gt;FLIPERAMA",EQUIPAMENTOS!$F:$F,"&lt;&gt;VERIFICAR")</f>
        <v>1</v>
      </c>
      <c r="E131" s="89" t="s">
        <v>310</v>
      </c>
      <c r="F131" s="89" t="s">
        <v>2219</v>
      </c>
      <c r="G131" s="89">
        <f>VLOOKUP(F131,PACOTES!B:E,4,FALSE)</f>
        <v>7</v>
      </c>
      <c r="H131" s="89"/>
    </row>
    <row r="132" spans="1:8" ht="15.75" hidden="1">
      <c r="A132" s="95">
        <v>131</v>
      </c>
      <c r="B132" s="89" t="s">
        <v>311</v>
      </c>
      <c r="C132" s="90"/>
      <c r="D132" s="89">
        <f>COUNTIFS(EQUIPAMENTOS!$A:$A,A132,EQUIPAMENTOS!$F:$F,"&lt;&gt;FLIPERAMA",EQUIPAMENTOS!$F:$F,"&lt;&gt;VERIFICAR")</f>
        <v>1</v>
      </c>
      <c r="E132" s="89" t="s">
        <v>312</v>
      </c>
      <c r="F132" s="89" t="s">
        <v>2221</v>
      </c>
      <c r="G132" s="89">
        <f>VLOOKUP(F132,PACOTES!B:E,4,FALSE)</f>
        <v>5</v>
      </c>
      <c r="H132" s="89"/>
    </row>
    <row r="133" spans="1:8" ht="15.75" hidden="1">
      <c r="A133" s="95">
        <v>132</v>
      </c>
      <c r="B133" s="89" t="s">
        <v>313</v>
      </c>
      <c r="C133" s="90"/>
      <c r="D133" s="89">
        <f>COUNTIFS(EQUIPAMENTOS!$A:$A,A133,EQUIPAMENTOS!$F:$F,"&lt;&gt;FLIPERAMA",EQUIPAMENTOS!$F:$F,"&lt;&gt;VERIFICAR")</f>
        <v>1</v>
      </c>
      <c r="E133" s="89" t="s">
        <v>314</v>
      </c>
      <c r="F133" s="89" t="s">
        <v>2224</v>
      </c>
      <c r="G133" s="89">
        <f>VLOOKUP(F133,PACOTES!B:E,4,FALSE)</f>
        <v>2</v>
      </c>
      <c r="H133" s="89"/>
    </row>
    <row r="134" spans="1:8" ht="15.75" hidden="1">
      <c r="A134" s="95">
        <v>133</v>
      </c>
      <c r="B134" s="89" t="s">
        <v>315</v>
      </c>
      <c r="C134" s="90"/>
      <c r="D134" s="89">
        <f>COUNTIFS(EQUIPAMENTOS!$A:$A,A134,EQUIPAMENTOS!$F:$F,"&lt;&gt;FLIPERAMA",EQUIPAMENTOS!$F:$F,"&lt;&gt;VERIFICAR")</f>
        <v>1</v>
      </c>
      <c r="E134" s="89" t="s">
        <v>316</v>
      </c>
      <c r="F134" s="89" t="s">
        <v>2221</v>
      </c>
      <c r="G134" s="89">
        <f>VLOOKUP(F134,PACOTES!B:E,4,FALSE)</f>
        <v>5</v>
      </c>
      <c r="H134" s="89"/>
    </row>
    <row r="135" spans="1:8" ht="15.75" hidden="1">
      <c r="A135" s="95">
        <v>134</v>
      </c>
      <c r="B135" s="89" t="s">
        <v>317</v>
      </c>
      <c r="C135" s="90"/>
      <c r="D135" s="89">
        <f>COUNTIFS(EQUIPAMENTOS!$A:$A,A135,EQUIPAMENTOS!$F:$F,"&lt;&gt;FLIPERAMA",EQUIPAMENTOS!$F:$F,"&lt;&gt;VERIFICAR")</f>
        <v>4</v>
      </c>
      <c r="E135" s="89" t="s">
        <v>318</v>
      </c>
      <c r="F135" s="89" t="s">
        <v>2218</v>
      </c>
      <c r="G135" s="89">
        <f>VLOOKUP(F135,PACOTES!B:E,4,FALSE)</f>
        <v>8</v>
      </c>
      <c r="H135" s="89"/>
    </row>
    <row r="136" spans="1:8" ht="15.75" hidden="1">
      <c r="A136" s="95">
        <v>135</v>
      </c>
      <c r="B136" s="89" t="s">
        <v>319</v>
      </c>
      <c r="C136" s="90"/>
      <c r="D136" s="89">
        <f>COUNTIFS(EQUIPAMENTOS!$A:$A,A136,EQUIPAMENTOS!$F:$F,"&lt;&gt;FLIPERAMA",EQUIPAMENTOS!$F:$F,"&lt;&gt;VERIFICAR")</f>
        <v>2</v>
      </c>
      <c r="E136" s="89" t="s">
        <v>320</v>
      </c>
      <c r="F136" s="89" t="s">
        <v>2225</v>
      </c>
      <c r="G136" s="89">
        <f>VLOOKUP(F136,PACOTES!B:E,4,FALSE)</f>
        <v>1</v>
      </c>
      <c r="H136" s="89"/>
    </row>
    <row r="137" spans="1:8" ht="15.75" hidden="1">
      <c r="A137" s="95">
        <v>136</v>
      </c>
      <c r="B137" s="89" t="s">
        <v>321</v>
      </c>
      <c r="C137" s="90"/>
      <c r="D137" s="89">
        <f>COUNTIFS(EQUIPAMENTOS!$A:$A,A137,EQUIPAMENTOS!$F:$F,"&lt;&gt;FLIPERAMA",EQUIPAMENTOS!$F:$F,"&lt;&gt;VERIFICAR")</f>
        <v>1</v>
      </c>
      <c r="E137" s="89" t="s">
        <v>322</v>
      </c>
      <c r="F137" s="89" t="s">
        <v>2220</v>
      </c>
      <c r="G137" s="89">
        <f>VLOOKUP(F137,PACOTES!B:E,4,FALSE)</f>
        <v>6</v>
      </c>
      <c r="H137" s="89"/>
    </row>
    <row r="138" spans="1:8" ht="15.75" hidden="1">
      <c r="A138" s="95">
        <v>137</v>
      </c>
      <c r="B138" s="89" t="s">
        <v>323</v>
      </c>
      <c r="C138" s="90"/>
      <c r="D138" s="89">
        <f>COUNTIFS(EQUIPAMENTOS!$A:$A,A138,EQUIPAMENTOS!$F:$F,"&lt;&gt;FLIPERAMA",EQUIPAMENTOS!$F:$F,"&lt;&gt;VERIFICAR")</f>
        <v>1</v>
      </c>
      <c r="E138" s="89" t="s">
        <v>324</v>
      </c>
      <c r="F138" s="89" t="s">
        <v>2221</v>
      </c>
      <c r="G138" s="89">
        <f>VLOOKUP(F138,PACOTES!B:E,4,FALSE)</f>
        <v>5</v>
      </c>
      <c r="H138" s="89"/>
    </row>
    <row r="139" spans="1:8" ht="15.75" hidden="1">
      <c r="A139" s="95">
        <v>138</v>
      </c>
      <c r="B139" s="89" t="s">
        <v>325</v>
      </c>
      <c r="C139" s="90"/>
      <c r="D139" s="89">
        <f>COUNTIFS(EQUIPAMENTOS!$A:$A,A139,EQUIPAMENTOS!$F:$F,"&lt;&gt;FLIPERAMA",EQUIPAMENTOS!$F:$F,"&lt;&gt;VERIFICAR")</f>
        <v>3</v>
      </c>
      <c r="E139" s="89" t="s">
        <v>326</v>
      </c>
      <c r="F139" s="89" t="s">
        <v>2221</v>
      </c>
      <c r="G139" s="89">
        <f>VLOOKUP(F139,PACOTES!B:E,4,FALSE)</f>
        <v>5</v>
      </c>
      <c r="H139" s="89"/>
    </row>
    <row r="140" spans="1:8" ht="15.75" hidden="1">
      <c r="A140" s="95">
        <v>139</v>
      </c>
      <c r="B140" s="89" t="s">
        <v>327</v>
      </c>
      <c r="C140" s="90"/>
      <c r="D140" s="89">
        <f>COUNTIFS(EQUIPAMENTOS!$A:$A,A140,EQUIPAMENTOS!$F:$F,"&lt;&gt;FLIPERAMA",EQUIPAMENTOS!$F:$F,"&lt;&gt;VERIFICAR")</f>
        <v>1</v>
      </c>
      <c r="E140" s="89" t="s">
        <v>328</v>
      </c>
      <c r="F140" s="89" t="s">
        <v>2218</v>
      </c>
      <c r="G140" s="89">
        <f>VLOOKUP(F140,PACOTES!B:E,4,FALSE)</f>
        <v>8</v>
      </c>
      <c r="H140" s="89"/>
    </row>
    <row r="141" spans="1:8" ht="15.75" hidden="1">
      <c r="A141" s="95">
        <v>140</v>
      </c>
      <c r="B141" s="89" t="s">
        <v>329</v>
      </c>
      <c r="C141" s="90"/>
      <c r="D141" s="89">
        <f>COUNTIFS(EQUIPAMENTOS!$A:$A,A141,EQUIPAMENTOS!$F:$F,"&lt;&gt;FLIPERAMA",EQUIPAMENTOS!$F:$F,"&lt;&gt;VERIFICAR")</f>
        <v>1</v>
      </c>
      <c r="E141" s="89" t="s">
        <v>330</v>
      </c>
      <c r="F141" s="89" t="s">
        <v>2218</v>
      </c>
      <c r="G141" s="89">
        <f>VLOOKUP(F141,PACOTES!B:E,4,FALSE)</f>
        <v>8</v>
      </c>
      <c r="H141" s="89"/>
    </row>
    <row r="142" spans="1:8" ht="15.75" hidden="1">
      <c r="A142" s="95">
        <v>141</v>
      </c>
      <c r="B142" s="89" t="s">
        <v>331</v>
      </c>
      <c r="C142" s="90"/>
      <c r="D142" s="89">
        <f>COUNTIFS(EQUIPAMENTOS!$A:$A,A142,EQUIPAMENTOS!$F:$F,"&lt;&gt;FLIPERAMA",EQUIPAMENTOS!$F:$F,"&lt;&gt;VERIFICAR")</f>
        <v>1</v>
      </c>
      <c r="E142" s="89" t="s">
        <v>332</v>
      </c>
      <c r="F142" s="89" t="s">
        <v>2222</v>
      </c>
      <c r="G142" s="89">
        <f>VLOOKUP(F142,PACOTES!B:E,4,FALSE)</f>
        <v>4</v>
      </c>
      <c r="H142" s="89"/>
    </row>
    <row r="143" spans="1:8" ht="15.75" hidden="1">
      <c r="A143" s="95">
        <v>142</v>
      </c>
      <c r="B143" s="89" t="s">
        <v>333</v>
      </c>
      <c r="C143" s="90"/>
      <c r="D143" s="89">
        <f>COUNTIFS(EQUIPAMENTOS!$A:$A,A143,EQUIPAMENTOS!$F:$F,"&lt;&gt;FLIPERAMA",EQUIPAMENTOS!$F:$F,"&lt;&gt;VERIFICAR")</f>
        <v>1</v>
      </c>
      <c r="E143" s="89" t="s">
        <v>334</v>
      </c>
      <c r="F143" s="89" t="s">
        <v>2218</v>
      </c>
      <c r="G143" s="89">
        <f>VLOOKUP(F143,PACOTES!B:E,4,FALSE)</f>
        <v>8</v>
      </c>
      <c r="H143" s="89"/>
    </row>
    <row r="144" spans="1:8" ht="15.75" hidden="1">
      <c r="A144" s="95">
        <v>143</v>
      </c>
      <c r="B144" s="89" t="s">
        <v>335</v>
      </c>
      <c r="C144" s="90"/>
      <c r="D144" s="89">
        <f>COUNTIFS(EQUIPAMENTOS!$A:$A,A144,EQUIPAMENTOS!$F:$F,"&lt;&gt;FLIPERAMA",EQUIPAMENTOS!$F:$F,"&lt;&gt;VERIFICAR")</f>
        <v>1</v>
      </c>
      <c r="E144" s="89" t="s">
        <v>336</v>
      </c>
      <c r="F144" s="89" t="s">
        <v>2222</v>
      </c>
      <c r="G144" s="89">
        <f>VLOOKUP(F144,PACOTES!B:E,4,FALSE)</f>
        <v>4</v>
      </c>
      <c r="H144" s="89"/>
    </row>
    <row r="145" spans="1:8" ht="15.75" hidden="1">
      <c r="A145" s="95">
        <v>144</v>
      </c>
      <c r="B145" s="89" t="s">
        <v>337</v>
      </c>
      <c r="C145" s="90"/>
      <c r="D145" s="89">
        <f>COUNTIFS(EQUIPAMENTOS!$A:$A,A145,EQUIPAMENTOS!$F:$F,"&lt;&gt;FLIPERAMA",EQUIPAMENTOS!$F:$F,"&lt;&gt;VERIFICAR")</f>
        <v>1</v>
      </c>
      <c r="E145" s="89" t="s">
        <v>338</v>
      </c>
      <c r="F145" s="89" t="s">
        <v>2220</v>
      </c>
      <c r="G145" s="89">
        <f>VLOOKUP(F145,PACOTES!B:E,4,FALSE)</f>
        <v>6</v>
      </c>
      <c r="H145" s="89"/>
    </row>
    <row r="146" spans="1:8" ht="15.75" hidden="1">
      <c r="A146" s="95">
        <v>145</v>
      </c>
      <c r="B146" s="89" t="s">
        <v>339</v>
      </c>
      <c r="C146" s="90"/>
      <c r="D146" s="89">
        <f>COUNTIFS(EQUIPAMENTOS!$A:$A,A146,EQUIPAMENTOS!$F:$F,"&lt;&gt;FLIPERAMA",EQUIPAMENTOS!$F:$F,"&lt;&gt;VERIFICAR")</f>
        <v>1</v>
      </c>
      <c r="E146" s="89" t="s">
        <v>340</v>
      </c>
      <c r="F146" s="89" t="s">
        <v>2217</v>
      </c>
      <c r="G146" s="89">
        <f>VLOOKUP(F146,PACOTES!B:E,4,FALSE)</f>
        <v>9</v>
      </c>
      <c r="H146" s="89"/>
    </row>
    <row r="147" spans="1:8" ht="15.75" hidden="1">
      <c r="A147" s="95">
        <v>146</v>
      </c>
      <c r="B147" s="89" t="s">
        <v>341</v>
      </c>
      <c r="C147" s="90"/>
      <c r="D147" s="89">
        <f>COUNTIFS(EQUIPAMENTOS!$A:$A,A147,EQUIPAMENTOS!$F:$F,"&lt;&gt;FLIPERAMA",EQUIPAMENTOS!$F:$F,"&lt;&gt;VERIFICAR")</f>
        <v>1</v>
      </c>
      <c r="E147" s="89" t="s">
        <v>342</v>
      </c>
      <c r="F147" s="89" t="s">
        <v>2220</v>
      </c>
      <c r="G147" s="89">
        <f>VLOOKUP(F147,PACOTES!B:E,4,FALSE)</f>
        <v>6</v>
      </c>
      <c r="H147" s="89"/>
    </row>
    <row r="148" spans="1:8" ht="15.75" hidden="1">
      <c r="A148" s="95">
        <v>147</v>
      </c>
      <c r="B148" s="89" t="s">
        <v>343</v>
      </c>
      <c r="C148" s="90"/>
      <c r="D148" s="89">
        <f>COUNTIFS(EQUIPAMENTOS!$A:$A,A148,EQUIPAMENTOS!$F:$F,"&lt;&gt;FLIPERAMA",EQUIPAMENTOS!$F:$F,"&lt;&gt;VERIFICAR")</f>
        <v>1</v>
      </c>
      <c r="E148" s="89" t="s">
        <v>344</v>
      </c>
      <c r="F148" s="89" t="s">
        <v>2221</v>
      </c>
      <c r="G148" s="89">
        <f>VLOOKUP(F148,PACOTES!B:E,4,FALSE)</f>
        <v>5</v>
      </c>
      <c r="H148" s="89"/>
    </row>
    <row r="149" spans="1:8" ht="15.75" hidden="1">
      <c r="A149" s="95">
        <v>149</v>
      </c>
      <c r="B149" s="89" t="s">
        <v>345</v>
      </c>
      <c r="C149" s="90"/>
      <c r="D149" s="89">
        <f>COUNTIFS(EQUIPAMENTOS!$A:$A,A149,EQUIPAMENTOS!$F:$F,"&lt;&gt;FLIPERAMA",EQUIPAMENTOS!$F:$F,"&lt;&gt;VERIFICAR")</f>
        <v>1</v>
      </c>
      <c r="E149" s="89" t="s">
        <v>346</v>
      </c>
      <c r="F149" s="89" t="s">
        <v>2220</v>
      </c>
      <c r="G149" s="89">
        <f>VLOOKUP(F149,PACOTES!B:E,4,FALSE)</f>
        <v>6</v>
      </c>
      <c r="H149" s="89"/>
    </row>
    <row r="150" spans="1:8" ht="15.75" hidden="1">
      <c r="A150" s="95">
        <v>150</v>
      </c>
      <c r="B150" s="89" t="s">
        <v>347</v>
      </c>
      <c r="C150" s="90"/>
      <c r="D150" s="89">
        <f>COUNTIFS(EQUIPAMENTOS!$A:$A,A150,EQUIPAMENTOS!$F:$F,"&lt;&gt;FLIPERAMA",EQUIPAMENTOS!$F:$F,"&lt;&gt;VERIFICAR")</f>
        <v>1</v>
      </c>
      <c r="E150" s="89" t="s">
        <v>348</v>
      </c>
      <c r="F150" s="89" t="s">
        <v>2225</v>
      </c>
      <c r="G150" s="89">
        <f>VLOOKUP(F150,PACOTES!B:E,4,FALSE)</f>
        <v>1</v>
      </c>
      <c r="H150" s="89"/>
    </row>
    <row r="151" spans="1:8" ht="15.75" hidden="1">
      <c r="A151" s="95">
        <v>151</v>
      </c>
      <c r="B151" s="89" t="s">
        <v>349</v>
      </c>
      <c r="C151" s="90"/>
      <c r="D151" s="89">
        <f>COUNTIFS(EQUIPAMENTOS!$A:$A,A151,EQUIPAMENTOS!$F:$F,"&lt;&gt;FLIPERAMA",EQUIPAMENTOS!$F:$F,"&lt;&gt;VERIFICAR")</f>
        <v>1</v>
      </c>
      <c r="E151" s="89" t="s">
        <v>350</v>
      </c>
      <c r="F151" s="89" t="s">
        <v>2225</v>
      </c>
      <c r="G151" s="89">
        <f>VLOOKUP(F151,PACOTES!B:E,4,FALSE)</f>
        <v>1</v>
      </c>
      <c r="H151" s="89"/>
    </row>
    <row r="152" spans="1:8" ht="15.75" hidden="1">
      <c r="A152" s="95">
        <v>152</v>
      </c>
      <c r="B152" s="89" t="s">
        <v>351</v>
      </c>
      <c r="C152" s="90"/>
      <c r="D152" s="89">
        <f>COUNTIFS(EQUIPAMENTOS!$A:$A,A152,EQUIPAMENTOS!$F:$F,"&lt;&gt;FLIPERAMA",EQUIPAMENTOS!$F:$F,"&lt;&gt;VERIFICAR")</f>
        <v>1</v>
      </c>
      <c r="E152" s="89" t="s">
        <v>352</v>
      </c>
      <c r="F152" s="89" t="s">
        <v>2217</v>
      </c>
      <c r="G152" s="89">
        <f>VLOOKUP(F152,PACOTES!B:E,4,FALSE)</f>
        <v>9</v>
      </c>
      <c r="H152" s="89"/>
    </row>
    <row r="153" spans="1:8" ht="15.75" hidden="1">
      <c r="A153" s="95">
        <v>153</v>
      </c>
      <c r="B153" s="89" t="s">
        <v>353</v>
      </c>
      <c r="C153" s="90"/>
      <c r="D153" s="89">
        <f>COUNTIFS(EQUIPAMENTOS!$A:$A,A153,EQUIPAMENTOS!$F:$F,"&lt;&gt;FLIPERAMA",EQUIPAMENTOS!$F:$F,"&lt;&gt;VERIFICAR")</f>
        <v>1</v>
      </c>
      <c r="E153" s="89" t="s">
        <v>354</v>
      </c>
      <c r="F153" s="89" t="s">
        <v>2219</v>
      </c>
      <c r="G153" s="89">
        <f>VLOOKUP(F153,PACOTES!B:E,4,FALSE)</f>
        <v>7</v>
      </c>
      <c r="H153" s="89"/>
    </row>
    <row r="154" spans="1:8" ht="15.75" hidden="1">
      <c r="A154" s="95">
        <v>154</v>
      </c>
      <c r="B154" s="89" t="s">
        <v>355</v>
      </c>
      <c r="C154" s="90"/>
      <c r="D154" s="89">
        <f>COUNTIFS(EQUIPAMENTOS!$A:$A,A154,EQUIPAMENTOS!$F:$F,"&lt;&gt;FLIPERAMA",EQUIPAMENTOS!$F:$F,"&lt;&gt;VERIFICAR")</f>
        <v>1</v>
      </c>
      <c r="E154" s="89" t="s">
        <v>356</v>
      </c>
      <c r="F154" s="89" t="s">
        <v>2216</v>
      </c>
      <c r="G154" s="89">
        <f>VLOOKUP(F154,PACOTES!B:E,4,FALSE)</f>
        <v>10</v>
      </c>
      <c r="H154" s="89"/>
    </row>
    <row r="155" spans="1:8" ht="15.75" hidden="1">
      <c r="A155" s="95">
        <v>155</v>
      </c>
      <c r="B155" s="89" t="s">
        <v>357</v>
      </c>
      <c r="C155" s="90"/>
      <c r="D155" s="89">
        <f>COUNTIFS(EQUIPAMENTOS!$A:$A,A155,EQUIPAMENTOS!$F:$F,"&lt;&gt;FLIPERAMA",EQUIPAMENTOS!$F:$F,"&lt;&gt;VERIFICAR")</f>
        <v>1</v>
      </c>
      <c r="E155" s="89" t="s">
        <v>358</v>
      </c>
      <c r="F155" s="89" t="s">
        <v>2220</v>
      </c>
      <c r="G155" s="89">
        <f>VLOOKUP(F155,PACOTES!B:E,4,FALSE)</f>
        <v>6</v>
      </c>
      <c r="H155" s="89"/>
    </row>
    <row r="156" spans="1:8" ht="15.75" hidden="1">
      <c r="A156" s="95">
        <v>156</v>
      </c>
      <c r="B156" s="89" t="s">
        <v>359</v>
      </c>
      <c r="C156" s="90"/>
      <c r="D156" s="89">
        <f>COUNTIFS(EQUIPAMENTOS!$A:$A,A156,EQUIPAMENTOS!$F:$F,"&lt;&gt;FLIPERAMA",EQUIPAMENTOS!$F:$F,"&lt;&gt;VERIFICAR")</f>
        <v>1</v>
      </c>
      <c r="E156" s="89" t="s">
        <v>360</v>
      </c>
      <c r="F156" s="89" t="s">
        <v>2218</v>
      </c>
      <c r="G156" s="89">
        <f>VLOOKUP(F156,PACOTES!B:E,4,FALSE)</f>
        <v>8</v>
      </c>
      <c r="H156" s="89"/>
    </row>
    <row r="157" spans="1:8" ht="15.75" hidden="1">
      <c r="A157" s="95">
        <v>157</v>
      </c>
      <c r="B157" s="89" t="s">
        <v>361</v>
      </c>
      <c r="C157" s="90"/>
      <c r="D157" s="89">
        <f>COUNTIFS(EQUIPAMENTOS!$A:$A,A157,EQUIPAMENTOS!$F:$F,"&lt;&gt;FLIPERAMA",EQUIPAMENTOS!$F:$F,"&lt;&gt;VERIFICAR")</f>
        <v>1</v>
      </c>
      <c r="E157" s="89" t="s">
        <v>362</v>
      </c>
      <c r="F157" s="89" t="s">
        <v>2221</v>
      </c>
      <c r="G157" s="89">
        <f>VLOOKUP(F157,PACOTES!B:E,4,FALSE)</f>
        <v>5</v>
      </c>
      <c r="H157" s="89"/>
    </row>
    <row r="158" spans="1:8" ht="15.75" hidden="1">
      <c r="A158" s="95">
        <v>158</v>
      </c>
      <c r="B158" s="89" t="s">
        <v>363</v>
      </c>
      <c r="C158" s="90"/>
      <c r="D158" s="89">
        <f>COUNTIFS(EQUIPAMENTOS!$A:$A,A158,EQUIPAMENTOS!$F:$F,"&lt;&gt;FLIPERAMA",EQUIPAMENTOS!$F:$F,"&lt;&gt;VERIFICAR")</f>
        <v>1</v>
      </c>
      <c r="E158" s="89" t="s">
        <v>364</v>
      </c>
      <c r="F158" s="89" t="s">
        <v>2221</v>
      </c>
      <c r="G158" s="89">
        <f>VLOOKUP(F158,PACOTES!B:E,4,FALSE)</f>
        <v>5</v>
      </c>
      <c r="H158" s="89"/>
    </row>
    <row r="159" spans="1:8" ht="15.75" hidden="1">
      <c r="A159" s="95">
        <v>159</v>
      </c>
      <c r="B159" s="89" t="s">
        <v>365</v>
      </c>
      <c r="C159" s="90"/>
      <c r="D159" s="89">
        <f>COUNTIFS(EQUIPAMENTOS!$A:$A,A159,EQUIPAMENTOS!$F:$F,"&lt;&gt;FLIPERAMA",EQUIPAMENTOS!$F:$F,"&lt;&gt;VERIFICAR")</f>
        <v>1</v>
      </c>
      <c r="E159" s="89" t="s">
        <v>366</v>
      </c>
      <c r="F159" s="89" t="s">
        <v>2218</v>
      </c>
      <c r="G159" s="89">
        <f>VLOOKUP(F159,PACOTES!B:E,4,FALSE)</f>
        <v>8</v>
      </c>
      <c r="H159" s="89"/>
    </row>
    <row r="160" spans="1:8" ht="15.75" hidden="1">
      <c r="A160" s="95">
        <v>160</v>
      </c>
      <c r="B160" s="89" t="s">
        <v>367</v>
      </c>
      <c r="C160" s="90"/>
      <c r="D160" s="89">
        <f>COUNTIFS(EQUIPAMENTOS!$A:$A,A160,EQUIPAMENTOS!$F:$F,"&lt;&gt;FLIPERAMA",EQUIPAMENTOS!$F:$F,"&lt;&gt;VERIFICAR")</f>
        <v>1</v>
      </c>
      <c r="E160" s="89" t="s">
        <v>368</v>
      </c>
      <c r="F160" s="89" t="s">
        <v>2220</v>
      </c>
      <c r="G160" s="89">
        <f>VLOOKUP(F160,PACOTES!B:E,4,FALSE)</f>
        <v>6</v>
      </c>
      <c r="H160" s="89"/>
    </row>
    <row r="161" spans="1:8" ht="15.75" hidden="1">
      <c r="A161" s="95">
        <v>161</v>
      </c>
      <c r="B161" s="89" t="s">
        <v>369</v>
      </c>
      <c r="C161" s="90"/>
      <c r="D161" s="89">
        <f>COUNTIFS(EQUIPAMENTOS!$A:$A,A161,EQUIPAMENTOS!$F:$F,"&lt;&gt;FLIPERAMA",EQUIPAMENTOS!$F:$F,"&lt;&gt;VERIFICAR")</f>
        <v>2</v>
      </c>
      <c r="E161" s="89" t="s">
        <v>370</v>
      </c>
      <c r="F161" s="89" t="s">
        <v>2217</v>
      </c>
      <c r="G161" s="89">
        <f>VLOOKUP(F161,PACOTES!B:E,4,FALSE)</f>
        <v>9</v>
      </c>
      <c r="H161" s="89"/>
    </row>
    <row r="162" spans="1:8" ht="15.75" hidden="1">
      <c r="A162" s="95">
        <v>162</v>
      </c>
      <c r="B162" s="89" t="s">
        <v>371</v>
      </c>
      <c r="C162" s="90"/>
      <c r="D162" s="89">
        <f>COUNTIFS(EQUIPAMENTOS!$A:$A,A162,EQUIPAMENTOS!$F:$F,"&lt;&gt;FLIPERAMA",EQUIPAMENTOS!$F:$F,"&lt;&gt;VERIFICAR")</f>
        <v>0</v>
      </c>
      <c r="E162" s="89" t="s">
        <v>372</v>
      </c>
      <c r="F162" s="89" t="s">
        <v>2226</v>
      </c>
      <c r="G162" s="89">
        <f>VLOOKUP(F162,PACOTES!B:E,4,FALSE)</f>
        <v>0</v>
      </c>
      <c r="H162" s="89"/>
    </row>
    <row r="163" spans="1:8" ht="15.75" hidden="1">
      <c r="A163" s="95">
        <v>163</v>
      </c>
      <c r="B163" s="89" t="s">
        <v>373</v>
      </c>
      <c r="C163" s="90"/>
      <c r="D163" s="89">
        <f>COUNTIFS(EQUIPAMENTOS!$A:$A,A163,EQUIPAMENTOS!$F:$F,"&lt;&gt;FLIPERAMA",EQUIPAMENTOS!$F:$F,"&lt;&gt;VERIFICAR")</f>
        <v>1</v>
      </c>
      <c r="E163" s="89" t="s">
        <v>374</v>
      </c>
      <c r="F163" s="89" t="s">
        <v>2217</v>
      </c>
      <c r="G163" s="89">
        <f>VLOOKUP(F163,PACOTES!B:E,4,FALSE)</f>
        <v>9</v>
      </c>
      <c r="H163" s="89"/>
    </row>
    <row r="164" spans="1:8" ht="15.75" hidden="1">
      <c r="A164" s="95">
        <v>164</v>
      </c>
      <c r="B164" s="89" t="s">
        <v>375</v>
      </c>
      <c r="C164" s="90"/>
      <c r="D164" s="89">
        <f>COUNTIFS(EQUIPAMENTOS!$A:$A,A164,EQUIPAMENTOS!$F:$F,"&lt;&gt;FLIPERAMA",EQUIPAMENTOS!$F:$F,"&lt;&gt;VERIFICAR")</f>
        <v>1</v>
      </c>
      <c r="E164" s="89" t="s">
        <v>376</v>
      </c>
      <c r="F164" s="89" t="s">
        <v>2221</v>
      </c>
      <c r="G164" s="89">
        <f>VLOOKUP(F164,PACOTES!B:E,4,FALSE)</f>
        <v>5</v>
      </c>
      <c r="H164" s="89"/>
    </row>
    <row r="165" spans="1:8" ht="15.75" hidden="1">
      <c r="A165" s="95">
        <v>165</v>
      </c>
      <c r="B165" s="89" t="s">
        <v>377</v>
      </c>
      <c r="C165" s="90"/>
      <c r="D165" s="89">
        <f>COUNTIFS(EQUIPAMENTOS!$A:$A,A165,EQUIPAMENTOS!$F:$F,"&lt;&gt;FLIPERAMA",EQUIPAMENTOS!$F:$F,"&lt;&gt;VERIFICAR")</f>
        <v>1</v>
      </c>
      <c r="E165" s="89" t="s">
        <v>378</v>
      </c>
      <c r="F165" s="89" t="s">
        <v>2219</v>
      </c>
      <c r="G165" s="89">
        <f>VLOOKUP(F165,PACOTES!B:E,4,FALSE)</f>
        <v>7</v>
      </c>
      <c r="H165" s="89"/>
    </row>
    <row r="166" spans="1:8" ht="15.75" hidden="1">
      <c r="A166" s="95">
        <v>166</v>
      </c>
      <c r="B166" s="89" t="s">
        <v>379</v>
      </c>
      <c r="C166" s="90"/>
      <c r="D166" s="89">
        <f>COUNTIFS(EQUIPAMENTOS!$A:$A,A166,EQUIPAMENTOS!$F:$F,"&lt;&gt;FLIPERAMA",EQUIPAMENTOS!$F:$F,"&lt;&gt;VERIFICAR")</f>
        <v>1</v>
      </c>
      <c r="E166" s="89" t="s">
        <v>380</v>
      </c>
      <c r="F166" s="89" t="s">
        <v>2219</v>
      </c>
      <c r="G166" s="89">
        <f>VLOOKUP(F166,PACOTES!B:E,4,FALSE)</f>
        <v>7</v>
      </c>
      <c r="H166" s="89"/>
    </row>
    <row r="167" spans="1:8" ht="15.75" hidden="1">
      <c r="A167" s="95">
        <v>167</v>
      </c>
      <c r="B167" s="89" t="s">
        <v>381</v>
      </c>
      <c r="C167" s="90"/>
      <c r="D167" s="89">
        <f>COUNTIFS(EQUIPAMENTOS!$A:$A,A167,EQUIPAMENTOS!$F:$F,"&lt;&gt;FLIPERAMA",EQUIPAMENTOS!$F:$F,"&lt;&gt;VERIFICAR")</f>
        <v>1</v>
      </c>
      <c r="E167" s="89" t="s">
        <v>382</v>
      </c>
      <c r="F167" s="89" t="s">
        <v>2221</v>
      </c>
      <c r="G167" s="89">
        <f>VLOOKUP(F167,PACOTES!B:E,4,FALSE)</f>
        <v>5</v>
      </c>
      <c r="H167" s="89"/>
    </row>
    <row r="168" spans="1:8" ht="15.75" hidden="1">
      <c r="A168" s="95">
        <v>168</v>
      </c>
      <c r="B168" s="89" t="s">
        <v>383</v>
      </c>
      <c r="C168" s="90"/>
      <c r="D168" s="89">
        <f>COUNTIFS(EQUIPAMENTOS!$A:$A,A168,EQUIPAMENTOS!$F:$F,"&lt;&gt;FLIPERAMA",EQUIPAMENTOS!$F:$F,"&lt;&gt;VERIFICAR")</f>
        <v>1</v>
      </c>
      <c r="E168" s="89" t="s">
        <v>384</v>
      </c>
      <c r="F168" s="89" t="s">
        <v>2225</v>
      </c>
      <c r="G168" s="89">
        <f>VLOOKUP(F168,PACOTES!B:E,4,FALSE)</f>
        <v>1</v>
      </c>
      <c r="H168" s="89"/>
    </row>
    <row r="169" spans="1:8" ht="15.75" hidden="1">
      <c r="A169" s="95">
        <v>169</v>
      </c>
      <c r="B169" s="89" t="s">
        <v>385</v>
      </c>
      <c r="C169" s="90"/>
      <c r="D169" s="89">
        <f>COUNTIFS(EQUIPAMENTOS!$A:$A,A169,EQUIPAMENTOS!$F:$F,"&lt;&gt;FLIPERAMA",EQUIPAMENTOS!$F:$F,"&lt;&gt;VERIFICAR")</f>
        <v>2</v>
      </c>
      <c r="E169" s="89" t="s">
        <v>386</v>
      </c>
      <c r="F169" s="89" t="s">
        <v>2224</v>
      </c>
      <c r="G169" s="89">
        <f>VLOOKUP(F169,PACOTES!B:E,4,FALSE)</f>
        <v>2</v>
      </c>
      <c r="H169" s="89"/>
    </row>
    <row r="170" spans="1:8" ht="15.75" hidden="1">
      <c r="A170" s="95">
        <v>170</v>
      </c>
      <c r="B170" s="89" t="s">
        <v>387</v>
      </c>
      <c r="C170" s="90"/>
      <c r="D170" s="89">
        <f>COUNTIFS(EQUIPAMENTOS!$A:$A,A170,EQUIPAMENTOS!$F:$F,"&lt;&gt;FLIPERAMA",EQUIPAMENTOS!$F:$F,"&lt;&gt;VERIFICAR")</f>
        <v>1</v>
      </c>
      <c r="E170" s="89" t="s">
        <v>388</v>
      </c>
      <c r="F170" s="89" t="s">
        <v>2222</v>
      </c>
      <c r="G170" s="89">
        <f>VLOOKUP(F170,PACOTES!B:E,4,FALSE)</f>
        <v>4</v>
      </c>
      <c r="H170" s="89"/>
    </row>
    <row r="171" spans="1:8" ht="15.75" hidden="1">
      <c r="A171" s="95">
        <v>171</v>
      </c>
      <c r="B171" s="89" t="s">
        <v>389</v>
      </c>
      <c r="C171" s="90"/>
      <c r="D171" s="89">
        <f>COUNTIFS(EQUIPAMENTOS!$A:$A,A171,EQUIPAMENTOS!$F:$F,"&lt;&gt;FLIPERAMA",EQUIPAMENTOS!$F:$F,"&lt;&gt;VERIFICAR")</f>
        <v>1</v>
      </c>
      <c r="E171" s="89" t="s">
        <v>390</v>
      </c>
      <c r="F171" s="89" t="s">
        <v>2220</v>
      </c>
      <c r="G171" s="89">
        <f>VLOOKUP(F171,PACOTES!B:E,4,FALSE)</f>
        <v>6</v>
      </c>
      <c r="H171" s="89"/>
    </row>
    <row r="172" spans="1:8" ht="15.75" hidden="1">
      <c r="A172" s="95">
        <v>172</v>
      </c>
      <c r="B172" s="89" t="s">
        <v>391</v>
      </c>
      <c r="C172" s="90"/>
      <c r="D172" s="89">
        <f>COUNTIFS(EQUIPAMENTOS!$A:$A,A172,EQUIPAMENTOS!$F:$F,"&lt;&gt;FLIPERAMA",EQUIPAMENTOS!$F:$F,"&lt;&gt;VERIFICAR")</f>
        <v>1</v>
      </c>
      <c r="E172" s="89" t="s">
        <v>392</v>
      </c>
      <c r="F172" s="89" t="s">
        <v>2221</v>
      </c>
      <c r="G172" s="89">
        <f>VLOOKUP(F172,PACOTES!B:E,4,FALSE)</f>
        <v>5</v>
      </c>
      <c r="H172" s="89"/>
    </row>
    <row r="173" spans="1:8" ht="15.75" hidden="1">
      <c r="A173" s="95">
        <v>173</v>
      </c>
      <c r="B173" s="89" t="s">
        <v>393</v>
      </c>
      <c r="C173" s="90"/>
      <c r="D173" s="89">
        <f>COUNTIFS(EQUIPAMENTOS!$A:$A,A173,EQUIPAMENTOS!$F:$F,"&lt;&gt;FLIPERAMA",EQUIPAMENTOS!$F:$F,"&lt;&gt;VERIFICAR")</f>
        <v>1</v>
      </c>
      <c r="E173" s="89" t="s">
        <v>394</v>
      </c>
      <c r="F173" s="89" t="s">
        <v>2224</v>
      </c>
      <c r="G173" s="89">
        <f>VLOOKUP(F173,PACOTES!B:E,4,FALSE)</f>
        <v>2</v>
      </c>
      <c r="H173" s="89"/>
    </row>
    <row r="174" spans="1:8" ht="15.75" hidden="1">
      <c r="A174" s="95">
        <v>174</v>
      </c>
      <c r="B174" s="89" t="s">
        <v>395</v>
      </c>
      <c r="C174" s="90"/>
      <c r="D174" s="89">
        <f>COUNTIFS(EQUIPAMENTOS!$A:$A,A174,EQUIPAMENTOS!$F:$F,"&lt;&gt;FLIPERAMA",EQUIPAMENTOS!$F:$F,"&lt;&gt;VERIFICAR")</f>
        <v>2</v>
      </c>
      <c r="E174" s="89" t="s">
        <v>396</v>
      </c>
      <c r="F174" s="89" t="s">
        <v>2221</v>
      </c>
      <c r="G174" s="89">
        <f>VLOOKUP(F174,PACOTES!B:E,4,FALSE)</f>
        <v>5</v>
      </c>
      <c r="H174" s="89"/>
    </row>
    <row r="175" spans="1:8" ht="15.75" hidden="1">
      <c r="A175" s="95">
        <v>175</v>
      </c>
      <c r="B175" s="89" t="s">
        <v>397</v>
      </c>
      <c r="C175" s="90"/>
      <c r="D175" s="89">
        <f>COUNTIFS(EQUIPAMENTOS!$A:$A,A175,EQUIPAMENTOS!$F:$F,"&lt;&gt;FLIPERAMA",EQUIPAMENTOS!$F:$F,"&lt;&gt;VERIFICAR")</f>
        <v>1</v>
      </c>
      <c r="E175" s="89" t="s">
        <v>398</v>
      </c>
      <c r="F175" s="89" t="s">
        <v>2221</v>
      </c>
      <c r="G175" s="89">
        <f>VLOOKUP(F175,PACOTES!B:E,4,FALSE)</f>
        <v>5</v>
      </c>
      <c r="H175" s="89"/>
    </row>
    <row r="176" spans="1:8" ht="15.75" hidden="1">
      <c r="A176" s="95">
        <v>176</v>
      </c>
      <c r="B176" s="89" t="s">
        <v>399</v>
      </c>
      <c r="C176" s="90"/>
      <c r="D176" s="89">
        <f>COUNTIFS(EQUIPAMENTOS!$A:$A,A176,EQUIPAMENTOS!$F:$F,"&lt;&gt;FLIPERAMA",EQUIPAMENTOS!$F:$F,"&lt;&gt;VERIFICAR")</f>
        <v>1</v>
      </c>
      <c r="E176" s="89" t="s">
        <v>400</v>
      </c>
      <c r="F176" s="89" t="s">
        <v>2224</v>
      </c>
      <c r="G176" s="89">
        <f>VLOOKUP(F176,PACOTES!B:E,4,FALSE)</f>
        <v>2</v>
      </c>
      <c r="H176" s="89"/>
    </row>
    <row r="177" spans="1:8" ht="15.75" hidden="1">
      <c r="A177" s="95">
        <v>177</v>
      </c>
      <c r="B177" s="89" t="s">
        <v>401</v>
      </c>
      <c r="C177" s="90"/>
      <c r="D177" s="89">
        <f>COUNTIFS(EQUIPAMENTOS!$A:$A,A177,EQUIPAMENTOS!$F:$F,"&lt;&gt;FLIPERAMA",EQUIPAMENTOS!$F:$F,"&lt;&gt;VERIFICAR")</f>
        <v>1</v>
      </c>
      <c r="E177" s="89" t="s">
        <v>402</v>
      </c>
      <c r="F177" s="89" t="s">
        <v>2225</v>
      </c>
      <c r="G177" s="89">
        <f>VLOOKUP(F177,PACOTES!B:E,4,FALSE)</f>
        <v>1</v>
      </c>
      <c r="H177" s="89"/>
    </row>
    <row r="178" spans="1:8" ht="15.75" hidden="1">
      <c r="A178" s="95">
        <v>178</v>
      </c>
      <c r="B178" s="89" t="s">
        <v>403</v>
      </c>
      <c r="C178" s="90"/>
      <c r="D178" s="89">
        <f>COUNTIFS(EQUIPAMENTOS!$A:$A,A178,EQUIPAMENTOS!$F:$F,"&lt;&gt;FLIPERAMA",EQUIPAMENTOS!$F:$F,"&lt;&gt;VERIFICAR")</f>
        <v>1</v>
      </c>
      <c r="E178" s="89" t="s">
        <v>404</v>
      </c>
      <c r="F178" s="89" t="s">
        <v>2217</v>
      </c>
      <c r="G178" s="89">
        <f>VLOOKUP(F178,PACOTES!B:E,4,FALSE)</f>
        <v>9</v>
      </c>
      <c r="H178" s="89"/>
    </row>
    <row r="179" spans="1:8" ht="15.75" hidden="1">
      <c r="A179" s="95">
        <v>179</v>
      </c>
      <c r="B179" s="89" t="s">
        <v>405</v>
      </c>
      <c r="C179" s="90"/>
      <c r="D179" s="89">
        <f>COUNTIFS(EQUIPAMENTOS!$A:$A,A179,EQUIPAMENTOS!$F:$F,"&lt;&gt;FLIPERAMA",EQUIPAMENTOS!$F:$F,"&lt;&gt;VERIFICAR")</f>
        <v>1</v>
      </c>
      <c r="E179" s="89" t="s">
        <v>406</v>
      </c>
      <c r="F179" s="89" t="s">
        <v>2221</v>
      </c>
      <c r="G179" s="89">
        <f>VLOOKUP(F179,PACOTES!B:E,4,FALSE)</f>
        <v>5</v>
      </c>
      <c r="H179" s="89"/>
    </row>
    <row r="180" spans="1:8" ht="15.75" hidden="1">
      <c r="A180" s="95">
        <v>180</v>
      </c>
      <c r="B180" s="89" t="s">
        <v>407</v>
      </c>
      <c r="C180" s="90"/>
      <c r="D180" s="89">
        <f>COUNTIFS(EQUIPAMENTOS!$A:$A,A180,EQUIPAMENTOS!$F:$F,"&lt;&gt;FLIPERAMA",EQUIPAMENTOS!$F:$F,"&lt;&gt;VERIFICAR")</f>
        <v>1</v>
      </c>
      <c r="E180" s="89" t="s">
        <v>408</v>
      </c>
      <c r="F180" s="89" t="s">
        <v>2221</v>
      </c>
      <c r="G180" s="89">
        <f>VLOOKUP(F180,PACOTES!B:E,4,FALSE)</f>
        <v>5</v>
      </c>
      <c r="H180" s="89"/>
    </row>
    <row r="181" spans="1:8" ht="15.75" hidden="1">
      <c r="A181" s="95">
        <v>181</v>
      </c>
      <c r="B181" s="89" t="s">
        <v>409</v>
      </c>
      <c r="C181" s="90"/>
      <c r="D181" s="89">
        <f>COUNTIFS(EQUIPAMENTOS!$A:$A,A181,EQUIPAMENTOS!$F:$F,"&lt;&gt;FLIPERAMA",EQUIPAMENTOS!$F:$F,"&lt;&gt;VERIFICAR")</f>
        <v>2</v>
      </c>
      <c r="E181" s="89" t="s">
        <v>410</v>
      </c>
      <c r="F181" s="89" t="s">
        <v>2221</v>
      </c>
      <c r="G181" s="89">
        <f>VLOOKUP(F181,PACOTES!B:E,4,FALSE)</f>
        <v>5</v>
      </c>
      <c r="H181" s="89"/>
    </row>
    <row r="182" spans="1:8" ht="15.75" hidden="1">
      <c r="A182" s="95">
        <v>182</v>
      </c>
      <c r="B182" s="89" t="s">
        <v>411</v>
      </c>
      <c r="C182" s="90"/>
      <c r="D182" s="89">
        <f>COUNTIFS(EQUIPAMENTOS!$A:$A,A182,EQUIPAMENTOS!$F:$F,"&lt;&gt;FLIPERAMA",EQUIPAMENTOS!$F:$F,"&lt;&gt;VERIFICAR")</f>
        <v>1</v>
      </c>
      <c r="E182" s="89" t="s">
        <v>412</v>
      </c>
      <c r="F182" s="89" t="s">
        <v>2217</v>
      </c>
      <c r="G182" s="89">
        <f>VLOOKUP(F182,PACOTES!B:E,4,FALSE)</f>
        <v>9</v>
      </c>
      <c r="H182" s="89"/>
    </row>
    <row r="183" spans="1:8" ht="15.75" hidden="1">
      <c r="A183" s="95">
        <v>183</v>
      </c>
      <c r="B183" s="89" t="s">
        <v>413</v>
      </c>
      <c r="C183" s="90"/>
      <c r="D183" s="89">
        <f>COUNTIFS(EQUIPAMENTOS!$A:$A,A183,EQUIPAMENTOS!$F:$F,"&lt;&gt;FLIPERAMA",EQUIPAMENTOS!$F:$F,"&lt;&gt;VERIFICAR")</f>
        <v>4</v>
      </c>
      <c r="E183" s="89" t="s">
        <v>414</v>
      </c>
      <c r="F183" s="89" t="s">
        <v>2221</v>
      </c>
      <c r="G183" s="89">
        <f>VLOOKUP(F183,PACOTES!B:E,4,FALSE)</f>
        <v>5</v>
      </c>
      <c r="H183" s="89"/>
    </row>
    <row r="184" spans="1:8" ht="15.75" hidden="1">
      <c r="A184" s="95">
        <v>184</v>
      </c>
      <c r="B184" s="89" t="s">
        <v>415</v>
      </c>
      <c r="C184" s="90"/>
      <c r="D184" s="89">
        <f>COUNTIFS(EQUIPAMENTOS!$A:$A,A184,EQUIPAMENTOS!$F:$F,"&lt;&gt;FLIPERAMA",EQUIPAMENTOS!$F:$F,"&lt;&gt;VERIFICAR")</f>
        <v>1</v>
      </c>
      <c r="E184" s="89" t="s">
        <v>416</v>
      </c>
      <c r="F184" s="89" t="s">
        <v>2217</v>
      </c>
      <c r="G184" s="89">
        <f>VLOOKUP(F184,PACOTES!B:E,4,FALSE)</f>
        <v>9</v>
      </c>
      <c r="H184" s="89"/>
    </row>
    <row r="185" spans="1:8" ht="15.75" hidden="1">
      <c r="A185" s="95">
        <v>185</v>
      </c>
      <c r="B185" s="89" t="s">
        <v>417</v>
      </c>
      <c r="C185" s="90"/>
      <c r="D185" s="89">
        <f>COUNTIFS(EQUIPAMENTOS!$A:$A,A185,EQUIPAMENTOS!$F:$F,"&lt;&gt;FLIPERAMA",EQUIPAMENTOS!$F:$F,"&lt;&gt;VERIFICAR")</f>
        <v>1</v>
      </c>
      <c r="E185" s="89" t="s">
        <v>418</v>
      </c>
      <c r="F185" s="89" t="s">
        <v>2226</v>
      </c>
      <c r="G185" s="89">
        <f>VLOOKUP(F185,PACOTES!B:E,4,FALSE)</f>
        <v>0</v>
      </c>
      <c r="H185" s="89" t="s">
        <v>419</v>
      </c>
    </row>
    <row r="186" spans="1:8" ht="15.75" hidden="1">
      <c r="A186" s="95">
        <v>186</v>
      </c>
      <c r="B186" s="89" t="s">
        <v>420</v>
      </c>
      <c r="C186" s="90"/>
      <c r="D186" s="89">
        <f>COUNTIFS(EQUIPAMENTOS!$A:$A,A186,EQUIPAMENTOS!$F:$F,"&lt;&gt;FLIPERAMA",EQUIPAMENTOS!$F:$F,"&lt;&gt;VERIFICAR")</f>
        <v>1</v>
      </c>
      <c r="E186" s="89" t="s">
        <v>421</v>
      </c>
      <c r="F186" s="89" t="s">
        <v>2220</v>
      </c>
      <c r="G186" s="89">
        <f>VLOOKUP(F186,PACOTES!B:E,4,FALSE)</f>
        <v>6</v>
      </c>
      <c r="H186" s="89"/>
    </row>
    <row r="187" spans="1:8" ht="15.75" hidden="1">
      <c r="A187" s="95">
        <v>187</v>
      </c>
      <c r="B187" s="89" t="s">
        <v>422</v>
      </c>
      <c r="C187" s="90"/>
      <c r="D187" s="89">
        <f>COUNTIFS(EQUIPAMENTOS!$A:$A,A187,EQUIPAMENTOS!$F:$F,"&lt;&gt;FLIPERAMA",EQUIPAMENTOS!$F:$F,"&lt;&gt;VERIFICAR")</f>
        <v>1</v>
      </c>
      <c r="E187" s="89" t="s">
        <v>423</v>
      </c>
      <c r="F187" s="89" t="s">
        <v>2224</v>
      </c>
      <c r="G187" s="89">
        <f>VLOOKUP(F187,PACOTES!B:E,4,FALSE)</f>
        <v>2</v>
      </c>
      <c r="H187" s="89"/>
    </row>
    <row r="188" spans="1:8" ht="15.75" hidden="1">
      <c r="A188" s="95">
        <v>188</v>
      </c>
      <c r="B188" s="89" t="s">
        <v>424</v>
      </c>
      <c r="C188" s="90"/>
      <c r="D188" s="89">
        <f>COUNTIFS(EQUIPAMENTOS!$A:$A,A188,EQUIPAMENTOS!$F:$F,"&lt;&gt;FLIPERAMA",EQUIPAMENTOS!$F:$F,"&lt;&gt;VERIFICAR")</f>
        <v>1</v>
      </c>
      <c r="E188" s="89" t="s">
        <v>425</v>
      </c>
      <c r="F188" s="89" t="s">
        <v>2221</v>
      </c>
      <c r="G188" s="89">
        <f>VLOOKUP(F188,PACOTES!B:E,4,FALSE)</f>
        <v>5</v>
      </c>
      <c r="H188" s="89"/>
    </row>
    <row r="189" spans="1:8" ht="15.75" hidden="1">
      <c r="A189" s="95">
        <v>189</v>
      </c>
      <c r="B189" s="89" t="s">
        <v>426</v>
      </c>
      <c r="C189" s="90"/>
      <c r="D189" s="89">
        <f>COUNTIFS(EQUIPAMENTOS!$A:$A,A189,EQUIPAMENTOS!$F:$F,"&lt;&gt;FLIPERAMA",EQUIPAMENTOS!$F:$F,"&lt;&gt;VERIFICAR")</f>
        <v>1</v>
      </c>
      <c r="E189" s="89" t="s">
        <v>427</v>
      </c>
      <c r="F189" s="89" t="s">
        <v>2221</v>
      </c>
      <c r="G189" s="89">
        <f>VLOOKUP(F189,PACOTES!B:E,4,FALSE)</f>
        <v>5</v>
      </c>
      <c r="H189" s="89"/>
    </row>
    <row r="190" spans="1:8" ht="15.75" hidden="1">
      <c r="A190" s="95">
        <v>190</v>
      </c>
      <c r="B190" s="89" t="s">
        <v>428</v>
      </c>
      <c r="C190" s="90"/>
      <c r="D190" s="89">
        <f>COUNTIFS(EQUIPAMENTOS!$A:$A,A190,EQUIPAMENTOS!$F:$F,"&lt;&gt;FLIPERAMA",EQUIPAMENTOS!$F:$F,"&lt;&gt;VERIFICAR")</f>
        <v>1</v>
      </c>
      <c r="E190" s="89" t="s">
        <v>429</v>
      </c>
      <c r="F190" s="89" t="s">
        <v>2218</v>
      </c>
      <c r="G190" s="89">
        <f>VLOOKUP(F190,PACOTES!B:E,4,FALSE)</f>
        <v>8</v>
      </c>
      <c r="H190" s="89"/>
    </row>
    <row r="191" spans="1:8" ht="15.75" hidden="1">
      <c r="A191" s="95">
        <v>191</v>
      </c>
      <c r="B191" s="89" t="s">
        <v>430</v>
      </c>
      <c r="C191" s="90"/>
      <c r="D191" s="89">
        <f>COUNTIFS(EQUIPAMENTOS!$A:$A,A191,EQUIPAMENTOS!$F:$F,"&lt;&gt;FLIPERAMA",EQUIPAMENTOS!$F:$F,"&lt;&gt;VERIFICAR")</f>
        <v>1</v>
      </c>
      <c r="E191" s="89" t="s">
        <v>431</v>
      </c>
      <c r="F191" s="89" t="s">
        <v>2221</v>
      </c>
      <c r="G191" s="89">
        <f>VLOOKUP(F191,PACOTES!B:E,4,FALSE)</f>
        <v>5</v>
      </c>
      <c r="H191" s="89"/>
    </row>
    <row r="192" spans="1:8" ht="15.75" hidden="1">
      <c r="A192" s="95">
        <v>192</v>
      </c>
      <c r="B192" s="89" t="s">
        <v>432</v>
      </c>
      <c r="C192" s="90"/>
      <c r="D192" s="89">
        <f>COUNTIFS(EQUIPAMENTOS!$A:$A,A192,EQUIPAMENTOS!$F:$F,"&lt;&gt;FLIPERAMA",EQUIPAMENTOS!$F:$F,"&lt;&gt;VERIFICAR")</f>
        <v>1</v>
      </c>
      <c r="E192" s="89" t="s">
        <v>433</v>
      </c>
      <c r="F192" s="89" t="s">
        <v>2221</v>
      </c>
      <c r="G192" s="89">
        <f>VLOOKUP(F192,PACOTES!B:E,4,FALSE)</f>
        <v>5</v>
      </c>
      <c r="H192" s="89"/>
    </row>
    <row r="193" spans="1:8" ht="15.75" hidden="1">
      <c r="A193" s="95">
        <v>193</v>
      </c>
      <c r="B193" s="89" t="s">
        <v>434</v>
      </c>
      <c r="C193" s="90"/>
      <c r="D193" s="89">
        <f>COUNTIFS(EQUIPAMENTOS!$A:$A,A193,EQUIPAMENTOS!$F:$F,"&lt;&gt;FLIPERAMA",EQUIPAMENTOS!$F:$F,"&lt;&gt;VERIFICAR")</f>
        <v>1</v>
      </c>
      <c r="E193" s="89" t="s">
        <v>435</v>
      </c>
      <c r="F193" s="89" t="s">
        <v>2217</v>
      </c>
      <c r="G193" s="89">
        <f>VLOOKUP(F193,PACOTES!B:E,4,FALSE)</f>
        <v>9</v>
      </c>
      <c r="H193" s="89"/>
    </row>
    <row r="194" spans="1:8" ht="15.75" hidden="1">
      <c r="A194" s="95">
        <v>194</v>
      </c>
      <c r="B194" s="89" t="s">
        <v>436</v>
      </c>
      <c r="C194" s="90"/>
      <c r="D194" s="89">
        <f>COUNTIFS(EQUIPAMENTOS!$A:$A,A194,EQUIPAMENTOS!$F:$F,"&lt;&gt;FLIPERAMA",EQUIPAMENTOS!$F:$F,"&lt;&gt;VERIFICAR")</f>
        <v>1</v>
      </c>
      <c r="E194" s="89" t="s">
        <v>437</v>
      </c>
      <c r="F194" s="89" t="s">
        <v>2219</v>
      </c>
      <c r="G194" s="89">
        <f>VLOOKUP(F194,PACOTES!B:E,4,FALSE)</f>
        <v>7</v>
      </c>
      <c r="H194" s="89"/>
    </row>
    <row r="195" spans="1:8" ht="15.75" hidden="1">
      <c r="A195" s="95">
        <v>195</v>
      </c>
      <c r="B195" s="89" t="s">
        <v>438</v>
      </c>
      <c r="C195" s="90"/>
      <c r="D195" s="89">
        <f>COUNTIFS(EQUIPAMENTOS!$A:$A,A195,EQUIPAMENTOS!$F:$F,"&lt;&gt;FLIPERAMA",EQUIPAMENTOS!$F:$F,"&lt;&gt;VERIFICAR")</f>
        <v>2</v>
      </c>
      <c r="E195" s="89" t="s">
        <v>439</v>
      </c>
      <c r="F195" s="89" t="s">
        <v>2217</v>
      </c>
      <c r="G195" s="89">
        <f>VLOOKUP(F195,PACOTES!B:E,4,FALSE)</f>
        <v>9</v>
      </c>
      <c r="H195" s="89"/>
    </row>
    <row r="196" spans="1:8" ht="15.75" hidden="1">
      <c r="A196" s="95">
        <v>196</v>
      </c>
      <c r="B196" s="89" t="s">
        <v>440</v>
      </c>
      <c r="C196" s="90"/>
      <c r="D196" s="89">
        <f>COUNTIFS(EQUIPAMENTOS!$A:$A,A196,EQUIPAMENTOS!$F:$F,"&lt;&gt;FLIPERAMA",EQUIPAMENTOS!$F:$F,"&lt;&gt;VERIFICAR")</f>
        <v>1</v>
      </c>
      <c r="E196" s="89" t="s">
        <v>441</v>
      </c>
      <c r="F196" s="89" t="s">
        <v>2216</v>
      </c>
      <c r="G196" s="89">
        <f>VLOOKUP(F196,PACOTES!B:E,4,FALSE)</f>
        <v>10</v>
      </c>
      <c r="H196" s="89"/>
    </row>
    <row r="197" spans="1:8" ht="15.75" hidden="1">
      <c r="A197" s="95">
        <v>197</v>
      </c>
      <c r="B197" s="89" t="s">
        <v>442</v>
      </c>
      <c r="C197" s="90"/>
      <c r="D197" s="89">
        <f>COUNTIFS(EQUIPAMENTOS!$A:$A,A197,EQUIPAMENTOS!$F:$F,"&lt;&gt;FLIPERAMA",EQUIPAMENTOS!$F:$F,"&lt;&gt;VERIFICAR")</f>
        <v>1</v>
      </c>
      <c r="E197" s="89" t="s">
        <v>443</v>
      </c>
      <c r="F197" s="89" t="s">
        <v>2221</v>
      </c>
      <c r="G197" s="89">
        <f>VLOOKUP(F197,PACOTES!B:E,4,FALSE)</f>
        <v>5</v>
      </c>
      <c r="H197" s="89"/>
    </row>
    <row r="198" spans="1:8" ht="15.75" hidden="1">
      <c r="A198" s="95">
        <v>198</v>
      </c>
      <c r="B198" s="89" t="s">
        <v>444</v>
      </c>
      <c r="C198" s="90"/>
      <c r="D198" s="89">
        <f>COUNTIFS(EQUIPAMENTOS!$A:$A,A198,EQUIPAMENTOS!$F:$F,"&lt;&gt;FLIPERAMA",EQUIPAMENTOS!$F:$F,"&lt;&gt;VERIFICAR")</f>
        <v>1</v>
      </c>
      <c r="E198" s="89" t="s">
        <v>445</v>
      </c>
      <c r="F198" s="89" t="s">
        <v>2224</v>
      </c>
      <c r="G198" s="89">
        <f>VLOOKUP(F198,PACOTES!B:E,4,FALSE)</f>
        <v>2</v>
      </c>
      <c r="H198" s="89"/>
    </row>
    <row r="199" spans="1:8" ht="15.75" hidden="1">
      <c r="A199" s="95">
        <v>199</v>
      </c>
      <c r="B199" s="89" t="s">
        <v>446</v>
      </c>
      <c r="C199" s="90"/>
      <c r="D199" s="89">
        <f>COUNTIFS(EQUIPAMENTOS!$A:$A,A199,EQUIPAMENTOS!$F:$F,"&lt;&gt;FLIPERAMA",EQUIPAMENTOS!$F:$F,"&lt;&gt;VERIFICAR")</f>
        <v>1</v>
      </c>
      <c r="E199" s="89" t="s">
        <v>447</v>
      </c>
      <c r="F199" s="89" t="s">
        <v>2220</v>
      </c>
      <c r="G199" s="89">
        <f>VLOOKUP(F199,PACOTES!B:E,4,FALSE)</f>
        <v>6</v>
      </c>
      <c r="H199" s="89"/>
    </row>
    <row r="200" spans="1:8" ht="15.75" hidden="1">
      <c r="A200" s="95">
        <v>200</v>
      </c>
      <c r="B200" s="89" t="s">
        <v>448</v>
      </c>
      <c r="C200" s="90"/>
      <c r="D200" s="89">
        <f>COUNTIFS(EQUIPAMENTOS!$A:$A,A200,EQUIPAMENTOS!$F:$F,"&lt;&gt;FLIPERAMA",EQUIPAMENTOS!$F:$F,"&lt;&gt;VERIFICAR")</f>
        <v>1</v>
      </c>
      <c r="E200" s="89" t="s">
        <v>449</v>
      </c>
      <c r="F200" s="89" t="s">
        <v>2218</v>
      </c>
      <c r="G200" s="89">
        <f>VLOOKUP(F200,PACOTES!B:E,4,FALSE)</f>
        <v>8</v>
      </c>
      <c r="H200" s="89"/>
    </row>
    <row r="201" spans="1:8" ht="15.75" hidden="1">
      <c r="A201" s="95">
        <v>201</v>
      </c>
      <c r="B201" s="89" t="s">
        <v>450</v>
      </c>
      <c r="C201" s="90"/>
      <c r="D201" s="89">
        <f>COUNTIFS(EQUIPAMENTOS!$A:$A,A201,EQUIPAMENTOS!$F:$F,"&lt;&gt;FLIPERAMA",EQUIPAMENTOS!$F:$F,"&lt;&gt;VERIFICAR")</f>
        <v>1</v>
      </c>
      <c r="E201" s="89" t="s">
        <v>451</v>
      </c>
      <c r="F201" s="89" t="s">
        <v>2222</v>
      </c>
      <c r="G201" s="89">
        <f>VLOOKUP(F201,PACOTES!B:E,4,FALSE)</f>
        <v>4</v>
      </c>
      <c r="H201" s="89"/>
    </row>
    <row r="202" spans="1:8" ht="15.75" hidden="1">
      <c r="A202" s="95">
        <v>202</v>
      </c>
      <c r="B202" s="89" t="s">
        <v>452</v>
      </c>
      <c r="C202" s="90"/>
      <c r="D202" s="89">
        <f>COUNTIFS(EQUIPAMENTOS!$A:$A,A202,EQUIPAMENTOS!$F:$F,"&lt;&gt;FLIPERAMA",EQUIPAMENTOS!$F:$F,"&lt;&gt;VERIFICAR")</f>
        <v>1</v>
      </c>
      <c r="E202" s="89" t="s">
        <v>453</v>
      </c>
      <c r="F202" s="89" t="s">
        <v>2216</v>
      </c>
      <c r="G202" s="89">
        <f>VLOOKUP(F202,PACOTES!B:E,4,FALSE)</f>
        <v>10</v>
      </c>
      <c r="H202" s="89"/>
    </row>
    <row r="203" spans="1:8" ht="15.75" hidden="1">
      <c r="A203" s="95">
        <v>203</v>
      </c>
      <c r="B203" s="89" t="s">
        <v>454</v>
      </c>
      <c r="C203" s="90"/>
      <c r="D203" s="89">
        <f>COUNTIFS(EQUIPAMENTOS!$A:$A,A203,EQUIPAMENTOS!$F:$F,"&lt;&gt;FLIPERAMA",EQUIPAMENTOS!$F:$F,"&lt;&gt;VERIFICAR")</f>
        <v>1</v>
      </c>
      <c r="E203" s="89" t="s">
        <v>455</v>
      </c>
      <c r="F203" s="89" t="s">
        <v>2222</v>
      </c>
      <c r="G203" s="89">
        <f>VLOOKUP(F203,PACOTES!B:E,4,FALSE)</f>
        <v>4</v>
      </c>
      <c r="H203" s="89"/>
    </row>
    <row r="204" spans="1:8" ht="15.75" hidden="1">
      <c r="A204" s="95">
        <v>204</v>
      </c>
      <c r="B204" s="89" t="s">
        <v>456</v>
      </c>
      <c r="C204" s="90"/>
      <c r="D204" s="89">
        <f>COUNTIFS(EQUIPAMENTOS!$A:$A,A204,EQUIPAMENTOS!$F:$F,"&lt;&gt;FLIPERAMA",EQUIPAMENTOS!$F:$F,"&lt;&gt;VERIFICAR")</f>
        <v>1</v>
      </c>
      <c r="E204" s="89" t="s">
        <v>457</v>
      </c>
      <c r="F204" s="89" t="s">
        <v>2219</v>
      </c>
      <c r="G204" s="89">
        <f>VLOOKUP(F204,PACOTES!B:E,4,FALSE)</f>
        <v>7</v>
      </c>
      <c r="H204" s="89"/>
    </row>
    <row r="205" spans="1:8" ht="15.75" hidden="1">
      <c r="A205" s="95">
        <v>205</v>
      </c>
      <c r="B205" s="89" t="s">
        <v>458</v>
      </c>
      <c r="C205" s="90"/>
      <c r="D205" s="89">
        <f>COUNTIFS(EQUIPAMENTOS!$A:$A,A205,EQUIPAMENTOS!$F:$F,"&lt;&gt;FLIPERAMA",EQUIPAMENTOS!$F:$F,"&lt;&gt;VERIFICAR")</f>
        <v>1</v>
      </c>
      <c r="E205" s="89" t="s">
        <v>459</v>
      </c>
      <c r="F205" s="89" t="s">
        <v>2218</v>
      </c>
      <c r="G205" s="89">
        <f>VLOOKUP(F205,PACOTES!B:E,4,FALSE)</f>
        <v>8</v>
      </c>
      <c r="H205" s="89"/>
    </row>
    <row r="206" spans="1:8" ht="15.75" hidden="1">
      <c r="A206" s="95">
        <v>206</v>
      </c>
      <c r="B206" s="89" t="s">
        <v>460</v>
      </c>
      <c r="C206" s="90"/>
      <c r="D206" s="89">
        <f>COUNTIFS(EQUIPAMENTOS!$A:$A,A206,EQUIPAMENTOS!$F:$F,"&lt;&gt;FLIPERAMA",EQUIPAMENTOS!$F:$F,"&lt;&gt;VERIFICAR")</f>
        <v>1</v>
      </c>
      <c r="E206" s="89" t="s">
        <v>461</v>
      </c>
      <c r="F206" s="89" t="s">
        <v>2218</v>
      </c>
      <c r="G206" s="89">
        <f>VLOOKUP(F206,PACOTES!B:E,4,FALSE)</f>
        <v>8</v>
      </c>
      <c r="H206" s="89"/>
    </row>
    <row r="207" spans="1:8" ht="15.75" hidden="1">
      <c r="A207" s="95">
        <v>207</v>
      </c>
      <c r="B207" s="89" t="s">
        <v>462</v>
      </c>
      <c r="C207" s="90"/>
      <c r="D207" s="89">
        <f>COUNTIFS(EQUIPAMENTOS!$A:$A,A207,EQUIPAMENTOS!$F:$F,"&lt;&gt;FLIPERAMA",EQUIPAMENTOS!$F:$F,"&lt;&gt;VERIFICAR")</f>
        <v>2</v>
      </c>
      <c r="E207" s="89" t="s">
        <v>463</v>
      </c>
      <c r="F207" s="89" t="s">
        <v>2221</v>
      </c>
      <c r="G207" s="89">
        <f>VLOOKUP(F207,PACOTES!B:E,4,FALSE)</f>
        <v>5</v>
      </c>
      <c r="H207" s="89"/>
    </row>
    <row r="208" spans="1:8" ht="15.75" hidden="1">
      <c r="A208" s="95">
        <v>208</v>
      </c>
      <c r="B208" s="89" t="s">
        <v>464</v>
      </c>
      <c r="C208" s="90"/>
      <c r="D208" s="89">
        <f>COUNTIFS(EQUIPAMENTOS!$A:$A,A208,EQUIPAMENTOS!$F:$F,"&lt;&gt;FLIPERAMA",EQUIPAMENTOS!$F:$F,"&lt;&gt;VERIFICAR")</f>
        <v>1</v>
      </c>
      <c r="E208" s="89" t="s">
        <v>465</v>
      </c>
      <c r="F208" s="89" t="s">
        <v>2224</v>
      </c>
      <c r="G208" s="89">
        <f>VLOOKUP(F208,PACOTES!B:E,4,FALSE)</f>
        <v>2</v>
      </c>
      <c r="H208" s="89"/>
    </row>
    <row r="209" spans="1:8" ht="15.75" hidden="1">
      <c r="A209" s="95">
        <v>209</v>
      </c>
      <c r="B209" s="89" t="s">
        <v>466</v>
      </c>
      <c r="C209" s="90"/>
      <c r="D209" s="89">
        <f>COUNTIFS(EQUIPAMENTOS!$A:$A,A209,EQUIPAMENTOS!$F:$F,"&lt;&gt;FLIPERAMA",EQUIPAMENTOS!$F:$F,"&lt;&gt;VERIFICAR")</f>
        <v>1</v>
      </c>
      <c r="E209" s="89" t="s">
        <v>467</v>
      </c>
      <c r="F209" s="89" t="s">
        <v>2224</v>
      </c>
      <c r="G209" s="89">
        <f>VLOOKUP(F209,PACOTES!B:E,4,FALSE)</f>
        <v>2</v>
      </c>
      <c r="H209" s="89"/>
    </row>
    <row r="210" spans="1:8" ht="15.75" hidden="1">
      <c r="A210" s="95">
        <v>210</v>
      </c>
      <c r="B210" s="89" t="s">
        <v>468</v>
      </c>
      <c r="C210" s="90"/>
      <c r="D210" s="89">
        <f>COUNTIFS(EQUIPAMENTOS!$A:$A,A210,EQUIPAMENTOS!$F:$F,"&lt;&gt;FLIPERAMA",EQUIPAMENTOS!$F:$F,"&lt;&gt;VERIFICAR")</f>
        <v>1</v>
      </c>
      <c r="E210" s="89" t="s">
        <v>469</v>
      </c>
      <c r="F210" s="89" t="s">
        <v>2222</v>
      </c>
      <c r="G210" s="89">
        <f>VLOOKUP(F210,PACOTES!B:E,4,FALSE)</f>
        <v>4</v>
      </c>
      <c r="H210" s="89"/>
    </row>
    <row r="211" spans="1:8" ht="15.75" hidden="1">
      <c r="A211" s="95">
        <v>211</v>
      </c>
      <c r="B211" s="89" t="s">
        <v>470</v>
      </c>
      <c r="C211" s="90"/>
      <c r="D211" s="89">
        <f>COUNTIFS(EQUIPAMENTOS!$A:$A,A211,EQUIPAMENTOS!$F:$F,"&lt;&gt;FLIPERAMA",EQUIPAMENTOS!$F:$F,"&lt;&gt;VERIFICAR")</f>
        <v>1</v>
      </c>
      <c r="E211" s="89" t="s">
        <v>471</v>
      </c>
      <c r="F211" s="89" t="s">
        <v>2222</v>
      </c>
      <c r="G211" s="89">
        <f>VLOOKUP(F211,PACOTES!B:E,4,FALSE)</f>
        <v>4</v>
      </c>
      <c r="H211" s="89"/>
    </row>
    <row r="212" spans="1:8" ht="15.75" hidden="1">
      <c r="A212" s="95">
        <v>212</v>
      </c>
      <c r="B212" s="89" t="s">
        <v>472</v>
      </c>
      <c r="C212" s="90"/>
      <c r="D212" s="89">
        <f>COUNTIFS(EQUIPAMENTOS!$A:$A,A212,EQUIPAMENTOS!$F:$F,"&lt;&gt;FLIPERAMA",EQUIPAMENTOS!$F:$F,"&lt;&gt;VERIFICAR")</f>
        <v>1</v>
      </c>
      <c r="E212" s="89" t="s">
        <v>473</v>
      </c>
      <c r="F212" s="89" t="s">
        <v>2221</v>
      </c>
      <c r="G212" s="89">
        <f>VLOOKUP(F212,PACOTES!B:E,4,FALSE)</f>
        <v>5</v>
      </c>
      <c r="H212" s="89"/>
    </row>
    <row r="213" spans="1:8" ht="15.75" hidden="1">
      <c r="A213" s="95">
        <v>213</v>
      </c>
      <c r="B213" s="89" t="s">
        <v>474</v>
      </c>
      <c r="C213" s="90"/>
      <c r="D213" s="89">
        <f>COUNTIFS(EQUIPAMENTOS!$A:$A,A213,EQUIPAMENTOS!$F:$F,"&lt;&gt;FLIPERAMA",EQUIPAMENTOS!$F:$F,"&lt;&gt;VERIFICAR")</f>
        <v>1</v>
      </c>
      <c r="E213" s="89" t="s">
        <v>475</v>
      </c>
      <c r="F213" s="89" t="s">
        <v>2222</v>
      </c>
      <c r="G213" s="89">
        <f>VLOOKUP(F213,PACOTES!B:E,4,FALSE)</f>
        <v>4</v>
      </c>
      <c r="H213" s="89"/>
    </row>
    <row r="214" spans="1:8" ht="15.75" hidden="1">
      <c r="A214" s="95">
        <v>214</v>
      </c>
      <c r="B214" s="89" t="s">
        <v>476</v>
      </c>
      <c r="C214" s="90"/>
      <c r="D214" s="89">
        <f>COUNTIFS(EQUIPAMENTOS!$A:$A,A214,EQUIPAMENTOS!$F:$F,"&lt;&gt;FLIPERAMA",EQUIPAMENTOS!$F:$F,"&lt;&gt;VERIFICAR")</f>
        <v>1</v>
      </c>
      <c r="E214" s="89" t="s">
        <v>477</v>
      </c>
      <c r="F214" s="89" t="s">
        <v>2217</v>
      </c>
      <c r="G214" s="89">
        <f>VLOOKUP(F214,PACOTES!B:E,4,FALSE)</f>
        <v>9</v>
      </c>
      <c r="H214" s="89"/>
    </row>
    <row r="215" spans="1:8" ht="15.75" hidden="1">
      <c r="A215" s="95">
        <v>215</v>
      </c>
      <c r="B215" s="89" t="s">
        <v>478</v>
      </c>
      <c r="C215" s="90"/>
      <c r="D215" s="89">
        <f>COUNTIFS(EQUIPAMENTOS!$A:$A,A215,EQUIPAMENTOS!$F:$F,"&lt;&gt;FLIPERAMA",EQUIPAMENTOS!$F:$F,"&lt;&gt;VERIFICAR")</f>
        <v>2</v>
      </c>
      <c r="E215" s="89" t="s">
        <v>479</v>
      </c>
      <c r="F215" s="89" t="s">
        <v>2217</v>
      </c>
      <c r="G215" s="89">
        <f>VLOOKUP(F215,PACOTES!B:E,4,FALSE)</f>
        <v>9</v>
      </c>
      <c r="H215" s="89"/>
    </row>
    <row r="216" spans="1:8" ht="15.75" hidden="1">
      <c r="A216" s="95">
        <v>216</v>
      </c>
      <c r="B216" s="89" t="s">
        <v>480</v>
      </c>
      <c r="C216" s="90"/>
      <c r="D216" s="89">
        <f>COUNTIFS(EQUIPAMENTOS!$A:$A,A216,EQUIPAMENTOS!$F:$F,"&lt;&gt;FLIPERAMA",EQUIPAMENTOS!$F:$F,"&lt;&gt;VERIFICAR")</f>
        <v>1</v>
      </c>
      <c r="E216" s="89" t="s">
        <v>481</v>
      </c>
      <c r="F216" s="89" t="s">
        <v>2216</v>
      </c>
      <c r="G216" s="89">
        <f>VLOOKUP(F216,PACOTES!B:E,4,FALSE)</f>
        <v>10</v>
      </c>
      <c r="H216" s="89"/>
    </row>
    <row r="217" spans="1:8" ht="15.75" hidden="1">
      <c r="A217" s="95">
        <v>217</v>
      </c>
      <c r="B217" s="89" t="s">
        <v>482</v>
      </c>
      <c r="C217" s="90"/>
      <c r="D217" s="89">
        <f>COUNTIFS(EQUIPAMENTOS!$A:$A,A217,EQUIPAMENTOS!$F:$F,"&lt;&gt;FLIPERAMA",EQUIPAMENTOS!$F:$F,"&lt;&gt;VERIFICAR")</f>
        <v>1</v>
      </c>
      <c r="E217" s="89" t="s">
        <v>483</v>
      </c>
      <c r="F217" s="89" t="s">
        <v>2218</v>
      </c>
      <c r="G217" s="89">
        <f>VLOOKUP(F217,PACOTES!B:E,4,FALSE)</f>
        <v>8</v>
      </c>
      <c r="H217" s="89"/>
    </row>
    <row r="218" spans="1:8" ht="15.75" hidden="1">
      <c r="A218" s="95">
        <v>218</v>
      </c>
      <c r="B218" s="89" t="s">
        <v>484</v>
      </c>
      <c r="C218" s="90"/>
      <c r="D218" s="89">
        <f>COUNTIFS(EQUIPAMENTOS!$A:$A,A218,EQUIPAMENTOS!$F:$F,"&lt;&gt;FLIPERAMA",EQUIPAMENTOS!$F:$F,"&lt;&gt;VERIFICAR")</f>
        <v>5</v>
      </c>
      <c r="E218" s="89" t="s">
        <v>485</v>
      </c>
      <c r="F218" s="89" t="s">
        <v>2224</v>
      </c>
      <c r="G218" s="89">
        <f>VLOOKUP(F218,PACOTES!B:E,4,FALSE)</f>
        <v>2</v>
      </c>
      <c r="H218" s="89"/>
    </row>
    <row r="219" spans="1:8" ht="15.75" hidden="1">
      <c r="A219" s="95">
        <v>219</v>
      </c>
      <c r="B219" s="89" t="s">
        <v>486</v>
      </c>
      <c r="C219" s="90"/>
      <c r="D219" s="89">
        <f>COUNTIFS(EQUIPAMENTOS!$A:$A,A219,EQUIPAMENTOS!$F:$F,"&lt;&gt;FLIPERAMA",EQUIPAMENTOS!$F:$F,"&lt;&gt;VERIFICAR")</f>
        <v>1</v>
      </c>
      <c r="E219" s="89" t="s">
        <v>487</v>
      </c>
      <c r="F219" s="89" t="s">
        <v>2224</v>
      </c>
      <c r="G219" s="89">
        <f>VLOOKUP(F219,PACOTES!B:E,4,FALSE)</f>
        <v>2</v>
      </c>
      <c r="H219" s="89"/>
    </row>
    <row r="220" spans="1:8" ht="15.75" hidden="1">
      <c r="A220" s="95">
        <v>220</v>
      </c>
      <c r="B220" s="89" t="s">
        <v>488</v>
      </c>
      <c r="C220" s="90"/>
      <c r="D220" s="89">
        <f>COUNTIFS(EQUIPAMENTOS!$A:$A,A220,EQUIPAMENTOS!$F:$F,"&lt;&gt;FLIPERAMA",EQUIPAMENTOS!$F:$F,"&lt;&gt;VERIFICAR")</f>
        <v>1</v>
      </c>
      <c r="E220" s="89" t="s">
        <v>489</v>
      </c>
      <c r="F220" s="89" t="s">
        <v>2218</v>
      </c>
      <c r="G220" s="89">
        <f>VLOOKUP(F220,PACOTES!B:E,4,FALSE)</f>
        <v>8</v>
      </c>
      <c r="H220" s="89"/>
    </row>
    <row r="221" spans="1:8" ht="15.75" hidden="1">
      <c r="A221" s="95">
        <v>221</v>
      </c>
      <c r="B221" s="89" t="s">
        <v>490</v>
      </c>
      <c r="C221" s="90"/>
      <c r="D221" s="89">
        <f>COUNTIFS(EQUIPAMENTOS!$A:$A,A221,EQUIPAMENTOS!$F:$F,"&lt;&gt;FLIPERAMA",EQUIPAMENTOS!$F:$F,"&lt;&gt;VERIFICAR")</f>
        <v>2</v>
      </c>
      <c r="E221" s="89" t="s">
        <v>491</v>
      </c>
      <c r="F221" s="89" t="s">
        <v>2217</v>
      </c>
      <c r="G221" s="89">
        <f>VLOOKUP(F221,PACOTES!B:E,4,FALSE)</f>
        <v>9</v>
      </c>
      <c r="H221" s="89"/>
    </row>
    <row r="222" spans="1:8" ht="15.75" hidden="1">
      <c r="A222" s="95">
        <v>222</v>
      </c>
      <c r="B222" s="89" t="s">
        <v>492</v>
      </c>
      <c r="C222" s="90"/>
      <c r="D222" s="89">
        <f>COUNTIFS(EQUIPAMENTOS!$A:$A,A222,EQUIPAMENTOS!$F:$F,"&lt;&gt;FLIPERAMA",EQUIPAMENTOS!$F:$F,"&lt;&gt;VERIFICAR")</f>
        <v>1</v>
      </c>
      <c r="E222" s="89" t="s">
        <v>493</v>
      </c>
      <c r="F222" s="89" t="s">
        <v>2221</v>
      </c>
      <c r="G222" s="89">
        <f>VLOOKUP(F222,PACOTES!B:E,4,FALSE)</f>
        <v>5</v>
      </c>
      <c r="H222" s="89"/>
    </row>
    <row r="223" spans="1:8" ht="15.75" hidden="1">
      <c r="A223" s="95">
        <v>223</v>
      </c>
      <c r="B223" s="89" t="s">
        <v>494</v>
      </c>
      <c r="C223" s="90"/>
      <c r="D223" s="89">
        <f>COUNTIFS(EQUIPAMENTOS!$A:$A,A223,EQUIPAMENTOS!$F:$F,"&lt;&gt;FLIPERAMA",EQUIPAMENTOS!$F:$F,"&lt;&gt;VERIFICAR")</f>
        <v>1</v>
      </c>
      <c r="E223" s="89" t="s">
        <v>495</v>
      </c>
      <c r="F223" s="89" t="s">
        <v>2220</v>
      </c>
      <c r="G223" s="89">
        <f>VLOOKUP(F223,PACOTES!B:E,4,FALSE)</f>
        <v>6</v>
      </c>
      <c r="H223" s="89"/>
    </row>
    <row r="224" spans="1:8" ht="15.75" hidden="1">
      <c r="A224" s="95">
        <v>224</v>
      </c>
      <c r="B224" s="89" t="s">
        <v>496</v>
      </c>
      <c r="C224" s="90"/>
      <c r="D224" s="89">
        <f>COUNTIFS(EQUIPAMENTOS!$A:$A,A224,EQUIPAMENTOS!$F:$F,"&lt;&gt;FLIPERAMA",EQUIPAMENTOS!$F:$F,"&lt;&gt;VERIFICAR")</f>
        <v>1</v>
      </c>
      <c r="E224" s="89" t="s">
        <v>497</v>
      </c>
      <c r="F224" s="89" t="s">
        <v>2218</v>
      </c>
      <c r="G224" s="89">
        <f>VLOOKUP(F224,PACOTES!B:E,4,FALSE)</f>
        <v>8</v>
      </c>
      <c r="H224" s="89"/>
    </row>
    <row r="225" spans="1:8" ht="15.75" hidden="1">
      <c r="A225" s="95">
        <v>225</v>
      </c>
      <c r="B225" s="89" t="s">
        <v>498</v>
      </c>
      <c r="C225" s="90"/>
      <c r="D225" s="89">
        <f>COUNTIFS(EQUIPAMENTOS!$A:$A,A225,EQUIPAMENTOS!$F:$F,"&lt;&gt;FLIPERAMA",EQUIPAMENTOS!$F:$F,"&lt;&gt;VERIFICAR")</f>
        <v>1</v>
      </c>
      <c r="E225" s="89" t="s">
        <v>499</v>
      </c>
      <c r="F225" s="89" t="s">
        <v>2218</v>
      </c>
      <c r="G225" s="89">
        <f>VLOOKUP(F225,PACOTES!B:E,4,FALSE)</f>
        <v>8</v>
      </c>
      <c r="H225" s="89"/>
    </row>
    <row r="226" spans="1:8" ht="15.75" hidden="1">
      <c r="A226" s="95">
        <v>226</v>
      </c>
      <c r="B226" s="89" t="s">
        <v>500</v>
      </c>
      <c r="C226" s="90"/>
      <c r="D226" s="89">
        <f>COUNTIFS(EQUIPAMENTOS!$A:$A,A226,EQUIPAMENTOS!$F:$F,"&lt;&gt;FLIPERAMA",EQUIPAMENTOS!$F:$F,"&lt;&gt;VERIFICAR")</f>
        <v>1</v>
      </c>
      <c r="E226" s="89" t="s">
        <v>501</v>
      </c>
      <c r="F226" s="89" t="s">
        <v>2224</v>
      </c>
      <c r="G226" s="89">
        <f>VLOOKUP(F226,PACOTES!B:E,4,FALSE)</f>
        <v>2</v>
      </c>
      <c r="H226" s="89"/>
    </row>
    <row r="227" spans="1:8" ht="15.75" hidden="1">
      <c r="A227" s="95">
        <v>227</v>
      </c>
      <c r="B227" s="89" t="s">
        <v>502</v>
      </c>
      <c r="C227" s="90"/>
      <c r="D227" s="89">
        <f>COUNTIFS(EQUIPAMENTOS!$A:$A,A227,EQUIPAMENTOS!$F:$F,"&lt;&gt;FLIPERAMA",EQUIPAMENTOS!$F:$F,"&lt;&gt;VERIFICAR")</f>
        <v>1</v>
      </c>
      <c r="E227" s="89" t="s">
        <v>503</v>
      </c>
      <c r="F227" s="89" t="s">
        <v>2222</v>
      </c>
      <c r="G227" s="89">
        <f>VLOOKUP(F227,PACOTES!B:E,4,FALSE)</f>
        <v>4</v>
      </c>
      <c r="H227" s="89"/>
    </row>
    <row r="228" spans="1:8" ht="15.75" hidden="1">
      <c r="A228" s="95">
        <v>228</v>
      </c>
      <c r="B228" s="89" t="s">
        <v>504</v>
      </c>
      <c r="C228" s="90"/>
      <c r="D228" s="89">
        <f>COUNTIFS(EQUIPAMENTOS!$A:$A,A228,EQUIPAMENTOS!$F:$F,"&lt;&gt;FLIPERAMA",EQUIPAMENTOS!$F:$F,"&lt;&gt;VERIFICAR")</f>
        <v>1</v>
      </c>
      <c r="E228" s="89" t="s">
        <v>505</v>
      </c>
      <c r="F228" s="89" t="s">
        <v>2221</v>
      </c>
      <c r="G228" s="89">
        <f>VLOOKUP(F228,PACOTES!B:E,4,FALSE)</f>
        <v>5</v>
      </c>
      <c r="H228" s="89"/>
    </row>
    <row r="229" spans="1:8" ht="15.75" hidden="1">
      <c r="A229" s="95">
        <v>229</v>
      </c>
      <c r="B229" s="89" t="s">
        <v>506</v>
      </c>
      <c r="C229" s="90"/>
      <c r="D229" s="89">
        <f>COUNTIFS(EQUIPAMENTOS!$A:$A,A229,EQUIPAMENTOS!$F:$F,"&lt;&gt;FLIPERAMA",EQUIPAMENTOS!$F:$F,"&lt;&gt;VERIFICAR")</f>
        <v>1</v>
      </c>
      <c r="E229" s="89" t="s">
        <v>507</v>
      </c>
      <c r="F229" s="89" t="s">
        <v>2226</v>
      </c>
      <c r="G229" s="89">
        <f>VLOOKUP(F229,PACOTES!B:E,4,FALSE)</f>
        <v>0</v>
      </c>
      <c r="H229" s="89"/>
    </row>
    <row r="230" spans="1:8" ht="15.75" hidden="1">
      <c r="A230" s="95">
        <v>230</v>
      </c>
      <c r="B230" s="89" t="s">
        <v>508</v>
      </c>
      <c r="C230" s="90"/>
      <c r="D230" s="89">
        <f>COUNTIFS(EQUIPAMENTOS!$A:$A,A230,EQUIPAMENTOS!$F:$F,"&lt;&gt;FLIPERAMA",EQUIPAMENTOS!$F:$F,"&lt;&gt;VERIFICAR")</f>
        <v>3</v>
      </c>
      <c r="E230" s="89" t="s">
        <v>509</v>
      </c>
      <c r="F230" s="89" t="s">
        <v>2222</v>
      </c>
      <c r="G230" s="89">
        <f>VLOOKUP(F230,PACOTES!B:E,4,FALSE)</f>
        <v>4</v>
      </c>
      <c r="H230" s="89"/>
    </row>
    <row r="231" spans="1:8" ht="15.75" hidden="1">
      <c r="A231" s="95">
        <v>231</v>
      </c>
      <c r="B231" s="89" t="s">
        <v>510</v>
      </c>
      <c r="C231" s="90"/>
      <c r="D231" s="89">
        <f>COUNTIFS(EQUIPAMENTOS!$A:$A,A231,EQUIPAMENTOS!$F:$F,"&lt;&gt;FLIPERAMA",EQUIPAMENTOS!$F:$F,"&lt;&gt;VERIFICAR")</f>
        <v>2</v>
      </c>
      <c r="E231" s="89" t="s">
        <v>511</v>
      </c>
      <c r="F231" s="89" t="s">
        <v>2217</v>
      </c>
      <c r="G231" s="89">
        <f>VLOOKUP(F231,PACOTES!B:E,4,FALSE)</f>
        <v>9</v>
      </c>
      <c r="H231" s="89"/>
    </row>
    <row r="232" spans="1:8" ht="15.75" hidden="1">
      <c r="A232" s="95">
        <v>232</v>
      </c>
      <c r="B232" s="89" t="s">
        <v>512</v>
      </c>
      <c r="C232" s="90"/>
      <c r="D232" s="89">
        <f>COUNTIFS(EQUIPAMENTOS!$A:$A,A232,EQUIPAMENTOS!$F:$F,"&lt;&gt;FLIPERAMA",EQUIPAMENTOS!$F:$F,"&lt;&gt;VERIFICAR")</f>
        <v>1</v>
      </c>
      <c r="E232" s="89" t="s">
        <v>513</v>
      </c>
      <c r="F232" s="89" t="s">
        <v>2221</v>
      </c>
      <c r="G232" s="89">
        <f>VLOOKUP(F232,PACOTES!B:E,4,FALSE)</f>
        <v>5</v>
      </c>
      <c r="H232" s="89"/>
    </row>
    <row r="233" spans="1:8" ht="15.75" hidden="1">
      <c r="A233" s="95">
        <v>233</v>
      </c>
      <c r="B233" s="89" t="s">
        <v>514</v>
      </c>
      <c r="C233" s="90"/>
      <c r="D233" s="89">
        <f>COUNTIFS(EQUIPAMENTOS!$A:$A,A233,EQUIPAMENTOS!$F:$F,"&lt;&gt;FLIPERAMA",EQUIPAMENTOS!$F:$F,"&lt;&gt;VERIFICAR")</f>
        <v>1</v>
      </c>
      <c r="E233" s="89" t="s">
        <v>515</v>
      </c>
      <c r="F233" s="89" t="s">
        <v>2225</v>
      </c>
      <c r="G233" s="89">
        <f>VLOOKUP(F233,PACOTES!B:E,4,FALSE)</f>
        <v>1</v>
      </c>
      <c r="H233" s="89"/>
    </row>
    <row r="234" spans="1:8" ht="15.75" hidden="1">
      <c r="A234" s="95">
        <v>234</v>
      </c>
      <c r="B234" s="89" t="s">
        <v>516</v>
      </c>
      <c r="C234" s="90"/>
      <c r="D234" s="89">
        <f>COUNTIFS(EQUIPAMENTOS!$A:$A,A234,EQUIPAMENTOS!$F:$F,"&lt;&gt;FLIPERAMA",EQUIPAMENTOS!$F:$F,"&lt;&gt;VERIFICAR")</f>
        <v>1</v>
      </c>
      <c r="E234" s="89" t="s">
        <v>517</v>
      </c>
      <c r="F234" s="89" t="s">
        <v>2225</v>
      </c>
      <c r="G234" s="89">
        <f>VLOOKUP(F234,PACOTES!B:E,4,FALSE)</f>
        <v>1</v>
      </c>
      <c r="H234" s="89"/>
    </row>
    <row r="235" spans="1:8" ht="15.75" hidden="1">
      <c r="A235" s="95">
        <v>235</v>
      </c>
      <c r="B235" s="89" t="s">
        <v>518</v>
      </c>
      <c r="C235" s="90"/>
      <c r="D235" s="89">
        <f>COUNTIFS(EQUIPAMENTOS!$A:$A,A235,EQUIPAMENTOS!$F:$F,"&lt;&gt;FLIPERAMA",EQUIPAMENTOS!$F:$F,"&lt;&gt;VERIFICAR")</f>
        <v>1</v>
      </c>
      <c r="E235" s="89" t="s">
        <v>519</v>
      </c>
      <c r="F235" s="89" t="s">
        <v>2217</v>
      </c>
      <c r="G235" s="89">
        <f>VLOOKUP(F235,PACOTES!B:E,4,FALSE)</f>
        <v>9</v>
      </c>
      <c r="H235" s="89"/>
    </row>
    <row r="236" spans="1:8" ht="15.75" hidden="1">
      <c r="A236" s="95">
        <v>236</v>
      </c>
      <c r="B236" s="89" t="s">
        <v>520</v>
      </c>
      <c r="C236" s="90"/>
      <c r="D236" s="89">
        <f>COUNTIFS(EQUIPAMENTOS!$A:$A,A236,EQUIPAMENTOS!$F:$F,"&lt;&gt;FLIPERAMA",EQUIPAMENTOS!$F:$F,"&lt;&gt;VERIFICAR")</f>
        <v>1</v>
      </c>
      <c r="E236" s="89" t="s">
        <v>521</v>
      </c>
      <c r="F236" s="89" t="s">
        <v>2225</v>
      </c>
      <c r="G236" s="89">
        <f>VLOOKUP(F236,PACOTES!B:E,4,FALSE)</f>
        <v>1</v>
      </c>
      <c r="H236" s="89"/>
    </row>
    <row r="237" spans="1:8" ht="15.75" hidden="1">
      <c r="A237" s="95">
        <v>237</v>
      </c>
      <c r="B237" s="89" t="s">
        <v>522</v>
      </c>
      <c r="C237" s="90"/>
      <c r="D237" s="89">
        <f>COUNTIFS(EQUIPAMENTOS!$A:$A,A237,EQUIPAMENTOS!$F:$F,"&lt;&gt;FLIPERAMA",EQUIPAMENTOS!$F:$F,"&lt;&gt;VERIFICAR")</f>
        <v>1</v>
      </c>
      <c r="E237" s="89" t="s">
        <v>523</v>
      </c>
      <c r="F237" s="89" t="s">
        <v>2218</v>
      </c>
      <c r="G237" s="89">
        <f>VLOOKUP(F237,PACOTES!B:E,4,FALSE)</f>
        <v>8</v>
      </c>
      <c r="H237" s="89"/>
    </row>
    <row r="238" spans="1:8" ht="15.75" hidden="1">
      <c r="A238" s="95">
        <v>238</v>
      </c>
      <c r="B238" s="89" t="s">
        <v>524</v>
      </c>
      <c r="C238" s="90"/>
      <c r="D238" s="89">
        <f>COUNTIFS(EQUIPAMENTOS!$A:$A,A238,EQUIPAMENTOS!$F:$F,"&lt;&gt;FLIPERAMA",EQUIPAMENTOS!$F:$F,"&lt;&gt;VERIFICAR")</f>
        <v>1</v>
      </c>
      <c r="E238" s="89" t="s">
        <v>525</v>
      </c>
      <c r="F238" s="89" t="s">
        <v>2220</v>
      </c>
      <c r="G238" s="89">
        <f>VLOOKUP(F238,PACOTES!B:E,4,FALSE)</f>
        <v>6</v>
      </c>
      <c r="H238" s="89"/>
    </row>
    <row r="239" spans="1:8" ht="15.75" hidden="1">
      <c r="A239" s="95">
        <v>239</v>
      </c>
      <c r="B239" s="89" t="s">
        <v>526</v>
      </c>
      <c r="C239" s="90"/>
      <c r="D239" s="89">
        <f>COUNTIFS(EQUIPAMENTOS!$A:$A,A239,EQUIPAMENTOS!$F:$F,"&lt;&gt;FLIPERAMA",EQUIPAMENTOS!$F:$F,"&lt;&gt;VERIFICAR")</f>
        <v>1</v>
      </c>
      <c r="E239" s="89" t="s">
        <v>527</v>
      </c>
      <c r="F239" s="89" t="s">
        <v>2220</v>
      </c>
      <c r="G239" s="89">
        <f>VLOOKUP(F239,PACOTES!B:E,4,FALSE)</f>
        <v>6</v>
      </c>
      <c r="H239" s="89"/>
    </row>
    <row r="240" spans="1:8" ht="15.75" hidden="1">
      <c r="A240" s="95">
        <v>240</v>
      </c>
      <c r="B240" s="89" t="s">
        <v>528</v>
      </c>
      <c r="C240" s="90"/>
      <c r="D240" s="89">
        <f>COUNTIFS(EQUIPAMENTOS!$A:$A,A240,EQUIPAMENTOS!$F:$F,"&lt;&gt;FLIPERAMA",EQUIPAMENTOS!$F:$F,"&lt;&gt;VERIFICAR")</f>
        <v>1</v>
      </c>
      <c r="E240" s="89" t="s">
        <v>529</v>
      </c>
      <c r="F240" s="89" t="s">
        <v>2220</v>
      </c>
      <c r="G240" s="89">
        <f>VLOOKUP(F240,PACOTES!B:E,4,FALSE)</f>
        <v>6</v>
      </c>
      <c r="H240" s="89"/>
    </row>
    <row r="241" spans="1:8" ht="15.75" hidden="1">
      <c r="A241" s="95">
        <v>241</v>
      </c>
      <c r="B241" s="89" t="s">
        <v>530</v>
      </c>
      <c r="C241" s="90"/>
      <c r="D241" s="89">
        <f>COUNTIFS(EQUIPAMENTOS!$A:$A,A241,EQUIPAMENTOS!$F:$F,"&lt;&gt;FLIPERAMA",EQUIPAMENTOS!$F:$F,"&lt;&gt;VERIFICAR")</f>
        <v>1</v>
      </c>
      <c r="E241" s="89" t="s">
        <v>531</v>
      </c>
      <c r="F241" s="89" t="s">
        <v>2217</v>
      </c>
      <c r="G241" s="89">
        <f>VLOOKUP(F241,PACOTES!B:E,4,FALSE)</f>
        <v>9</v>
      </c>
      <c r="H241" s="89"/>
    </row>
    <row r="242" spans="1:8" ht="15.75" hidden="1">
      <c r="A242" s="95">
        <v>242</v>
      </c>
      <c r="B242" s="89" t="s">
        <v>532</v>
      </c>
      <c r="C242" s="90"/>
      <c r="D242" s="89">
        <f>COUNTIFS(EQUIPAMENTOS!$A:$A,A242,EQUIPAMENTOS!$F:$F,"&lt;&gt;FLIPERAMA",EQUIPAMENTOS!$F:$F,"&lt;&gt;VERIFICAR")</f>
        <v>7</v>
      </c>
      <c r="E242" s="89" t="s">
        <v>533</v>
      </c>
      <c r="F242" s="89" t="s">
        <v>2224</v>
      </c>
      <c r="G242" s="89">
        <f>VLOOKUP(F242,PACOTES!B:E,4,FALSE)</f>
        <v>2</v>
      </c>
      <c r="H242" s="89"/>
    </row>
    <row r="243" spans="1:8" ht="15.75" hidden="1">
      <c r="A243" s="95">
        <v>243</v>
      </c>
      <c r="B243" s="89" t="s">
        <v>534</v>
      </c>
      <c r="C243" s="90"/>
      <c r="D243" s="89">
        <f>COUNTIFS(EQUIPAMENTOS!$A:$A,A243,EQUIPAMENTOS!$F:$F,"&lt;&gt;FLIPERAMA",EQUIPAMENTOS!$F:$F,"&lt;&gt;VERIFICAR")</f>
        <v>1</v>
      </c>
      <c r="E243" s="89" t="s">
        <v>535</v>
      </c>
      <c r="F243" s="89" t="s">
        <v>2220</v>
      </c>
      <c r="G243" s="89">
        <f>VLOOKUP(F243,PACOTES!B:E,4,FALSE)</f>
        <v>6</v>
      </c>
      <c r="H243" s="89"/>
    </row>
    <row r="244" spans="1:8" ht="15.75" hidden="1">
      <c r="A244" s="95">
        <v>244</v>
      </c>
      <c r="B244" s="89" t="s">
        <v>536</v>
      </c>
      <c r="C244" s="90"/>
      <c r="D244" s="89">
        <f>COUNTIFS(EQUIPAMENTOS!$A:$A,A244,EQUIPAMENTOS!$F:$F,"&lt;&gt;FLIPERAMA",EQUIPAMENTOS!$F:$F,"&lt;&gt;VERIFICAR")</f>
        <v>1</v>
      </c>
      <c r="E244" s="89" t="s">
        <v>537</v>
      </c>
      <c r="F244" s="89" t="s">
        <v>2220</v>
      </c>
      <c r="G244" s="89">
        <f>VLOOKUP(F244,PACOTES!B:E,4,FALSE)</f>
        <v>6</v>
      </c>
      <c r="H244" s="89"/>
    </row>
    <row r="245" spans="1:8" ht="15.75" hidden="1">
      <c r="A245" s="95">
        <v>245</v>
      </c>
      <c r="B245" s="89" t="s">
        <v>538</v>
      </c>
      <c r="C245" s="90"/>
      <c r="D245" s="89">
        <f>COUNTIFS(EQUIPAMENTOS!$A:$A,A245,EQUIPAMENTOS!$F:$F,"&lt;&gt;FLIPERAMA",EQUIPAMENTOS!$F:$F,"&lt;&gt;VERIFICAR")</f>
        <v>4</v>
      </c>
      <c r="E245" s="89">
        <v>21983754247</v>
      </c>
      <c r="F245" s="89" t="s">
        <v>2225</v>
      </c>
      <c r="G245" s="89">
        <f>VLOOKUP(F245,PACOTES!B:E,4,FALSE)</f>
        <v>1</v>
      </c>
      <c r="H245" s="89"/>
    </row>
    <row r="246" spans="1:8" ht="15.75" hidden="1">
      <c r="A246" s="95">
        <v>246</v>
      </c>
      <c r="B246" s="89" t="s">
        <v>539</v>
      </c>
      <c r="C246" s="90"/>
      <c r="D246" s="89">
        <f>COUNTIFS(EQUIPAMENTOS!$A:$A,A246,EQUIPAMENTOS!$F:$F,"&lt;&gt;FLIPERAMA",EQUIPAMENTOS!$F:$F,"&lt;&gt;VERIFICAR")</f>
        <v>2</v>
      </c>
      <c r="E246" s="89" t="s">
        <v>540</v>
      </c>
      <c r="F246" s="89" t="s">
        <v>2217</v>
      </c>
      <c r="G246" s="89">
        <f>VLOOKUP(F246,PACOTES!B:E,4,FALSE)</f>
        <v>9</v>
      </c>
      <c r="H246" s="89"/>
    </row>
    <row r="247" spans="1:8" ht="15.75" hidden="1">
      <c r="A247" s="95">
        <v>247</v>
      </c>
      <c r="B247" s="89" t="s">
        <v>541</v>
      </c>
      <c r="C247" s="90"/>
      <c r="D247" s="89">
        <f>COUNTIFS(EQUIPAMENTOS!$A:$A,A247,EQUIPAMENTOS!$F:$F,"&lt;&gt;FLIPERAMA",EQUIPAMENTOS!$F:$F,"&lt;&gt;VERIFICAR")</f>
        <v>1</v>
      </c>
      <c r="E247" s="89" t="s">
        <v>542</v>
      </c>
      <c r="F247" s="89" t="s">
        <v>2222</v>
      </c>
      <c r="G247" s="89">
        <f>VLOOKUP(F247,PACOTES!B:E,4,FALSE)</f>
        <v>4</v>
      </c>
      <c r="H247" s="89"/>
    </row>
    <row r="248" spans="1:8" ht="15.75" hidden="1">
      <c r="A248" s="95">
        <v>248</v>
      </c>
      <c r="B248" s="89" t="s">
        <v>543</v>
      </c>
      <c r="C248" s="90"/>
      <c r="D248" s="89">
        <f>COUNTIFS(EQUIPAMENTOS!$A:$A,A248,EQUIPAMENTOS!$F:$F,"&lt;&gt;FLIPERAMA",EQUIPAMENTOS!$F:$F,"&lt;&gt;VERIFICAR")</f>
        <v>1</v>
      </c>
      <c r="E248" s="89" t="s">
        <v>544</v>
      </c>
      <c r="F248" s="89" t="s">
        <v>2220</v>
      </c>
      <c r="G248" s="89">
        <f>VLOOKUP(F248,PACOTES!B:E,4,FALSE)</f>
        <v>6</v>
      </c>
      <c r="H248" s="89"/>
    </row>
    <row r="249" spans="1:8" ht="15.75" hidden="1">
      <c r="A249" s="95">
        <v>249</v>
      </c>
      <c r="B249" s="89" t="s">
        <v>545</v>
      </c>
      <c r="C249" s="90"/>
      <c r="D249" s="89">
        <f>COUNTIFS(EQUIPAMENTOS!$A:$A,A249,EQUIPAMENTOS!$F:$F,"&lt;&gt;FLIPERAMA",EQUIPAMENTOS!$F:$F,"&lt;&gt;VERIFICAR")</f>
        <v>1</v>
      </c>
      <c r="E249" s="89" t="s">
        <v>546</v>
      </c>
      <c r="F249" s="89" t="s">
        <v>2219</v>
      </c>
      <c r="G249" s="89">
        <f>VLOOKUP(F249,PACOTES!B:E,4,FALSE)</f>
        <v>7</v>
      </c>
      <c r="H249" s="89"/>
    </row>
    <row r="250" spans="1:8" ht="15.75" hidden="1">
      <c r="A250" s="95">
        <v>250</v>
      </c>
      <c r="B250" s="89" t="s">
        <v>547</v>
      </c>
      <c r="C250" s="90"/>
      <c r="D250" s="89">
        <f>COUNTIFS(EQUIPAMENTOS!$A:$A,A250,EQUIPAMENTOS!$F:$F,"&lt;&gt;FLIPERAMA",EQUIPAMENTOS!$F:$F,"&lt;&gt;VERIFICAR")</f>
        <v>2</v>
      </c>
      <c r="E250" s="89" t="s">
        <v>548</v>
      </c>
      <c r="F250" s="89" t="s">
        <v>2221</v>
      </c>
      <c r="G250" s="89">
        <f>VLOOKUP(F250,PACOTES!B:E,4,FALSE)</f>
        <v>5</v>
      </c>
      <c r="H250" s="89"/>
    </row>
    <row r="251" spans="1:8" ht="15.75" hidden="1">
      <c r="A251" s="95">
        <v>251</v>
      </c>
      <c r="B251" s="89" t="s">
        <v>549</v>
      </c>
      <c r="C251" s="90"/>
      <c r="D251" s="89">
        <f>COUNTIFS(EQUIPAMENTOS!$A:$A,A251,EQUIPAMENTOS!$F:$F,"&lt;&gt;FLIPERAMA",EQUIPAMENTOS!$F:$F,"&lt;&gt;VERIFICAR")</f>
        <v>1</v>
      </c>
      <c r="E251" s="89" t="s">
        <v>550</v>
      </c>
      <c r="F251" s="89" t="s">
        <v>2220</v>
      </c>
      <c r="G251" s="89">
        <f>VLOOKUP(F251,PACOTES!B:E,4,FALSE)</f>
        <v>6</v>
      </c>
      <c r="H251" s="89"/>
    </row>
    <row r="252" spans="1:8" ht="15.75" hidden="1">
      <c r="A252" s="95">
        <v>252</v>
      </c>
      <c r="B252" s="89" t="s">
        <v>551</v>
      </c>
      <c r="C252" s="90"/>
      <c r="D252" s="89">
        <f>COUNTIFS(EQUIPAMENTOS!$A:$A,A252,EQUIPAMENTOS!$F:$F,"&lt;&gt;FLIPERAMA",EQUIPAMENTOS!$F:$F,"&lt;&gt;VERIFICAR")</f>
        <v>3</v>
      </c>
      <c r="E252" s="89" t="s">
        <v>552</v>
      </c>
      <c r="F252" s="89" t="s">
        <v>2221</v>
      </c>
      <c r="G252" s="89">
        <f>VLOOKUP(F252,PACOTES!B:E,4,FALSE)</f>
        <v>5</v>
      </c>
      <c r="H252" s="89"/>
    </row>
    <row r="253" spans="1:8" ht="15.75" hidden="1">
      <c r="A253" s="95">
        <v>253</v>
      </c>
      <c r="B253" s="89" t="s">
        <v>553</v>
      </c>
      <c r="C253" s="90"/>
      <c r="D253" s="89">
        <f>COUNTIFS(EQUIPAMENTOS!$A:$A,A253,EQUIPAMENTOS!$F:$F,"&lt;&gt;FLIPERAMA",EQUIPAMENTOS!$F:$F,"&lt;&gt;VERIFICAR")</f>
        <v>1</v>
      </c>
      <c r="E253" s="89" t="s">
        <v>554</v>
      </c>
      <c r="F253" s="89" t="s">
        <v>2220</v>
      </c>
      <c r="G253" s="89">
        <f>VLOOKUP(F253,PACOTES!B:E,4,FALSE)</f>
        <v>6</v>
      </c>
      <c r="H253" s="89"/>
    </row>
    <row r="254" spans="1:8" ht="15.75" hidden="1">
      <c r="A254" s="95">
        <v>254</v>
      </c>
      <c r="B254" s="89" t="s">
        <v>555</v>
      </c>
      <c r="C254" s="90"/>
      <c r="D254" s="89">
        <f>COUNTIFS(EQUIPAMENTOS!$A:$A,A254,EQUIPAMENTOS!$F:$F,"&lt;&gt;FLIPERAMA",EQUIPAMENTOS!$F:$F,"&lt;&gt;VERIFICAR")</f>
        <v>1</v>
      </c>
      <c r="E254" s="89" t="s">
        <v>556</v>
      </c>
      <c r="F254" s="89" t="s">
        <v>2224</v>
      </c>
      <c r="G254" s="89">
        <f>VLOOKUP(F254,PACOTES!B:E,4,FALSE)</f>
        <v>2</v>
      </c>
      <c r="H254" s="89"/>
    </row>
    <row r="255" spans="1:8" ht="15.75" hidden="1">
      <c r="A255" s="95">
        <v>255</v>
      </c>
      <c r="B255" s="89" t="s">
        <v>557</v>
      </c>
      <c r="C255" s="90"/>
      <c r="D255" s="89">
        <f>COUNTIFS(EQUIPAMENTOS!$A:$A,A255,EQUIPAMENTOS!$F:$F,"&lt;&gt;FLIPERAMA",EQUIPAMENTOS!$F:$F,"&lt;&gt;VERIFICAR")</f>
        <v>1</v>
      </c>
      <c r="E255" s="89" t="s">
        <v>558</v>
      </c>
      <c r="F255" s="89" t="s">
        <v>2220</v>
      </c>
      <c r="G255" s="89">
        <f>VLOOKUP(F255,PACOTES!B:E,4,FALSE)</f>
        <v>6</v>
      </c>
      <c r="H255" s="89"/>
    </row>
    <row r="256" spans="1:8" ht="15.75" hidden="1">
      <c r="A256" s="95">
        <v>256</v>
      </c>
      <c r="B256" s="89" t="s">
        <v>559</v>
      </c>
      <c r="C256" s="90"/>
      <c r="D256" s="89">
        <f>COUNTIFS(EQUIPAMENTOS!$A:$A,A256,EQUIPAMENTOS!$F:$F,"&lt;&gt;FLIPERAMA",EQUIPAMENTOS!$F:$F,"&lt;&gt;VERIFICAR")</f>
        <v>1</v>
      </c>
      <c r="E256" s="89" t="s">
        <v>560</v>
      </c>
      <c r="F256" s="89" t="s">
        <v>2222</v>
      </c>
      <c r="G256" s="89">
        <f>VLOOKUP(F256,PACOTES!B:E,4,FALSE)</f>
        <v>4</v>
      </c>
      <c r="H256" s="89"/>
    </row>
    <row r="257" spans="1:8" ht="15.75" hidden="1">
      <c r="A257" s="95">
        <v>257</v>
      </c>
      <c r="B257" s="89" t="s">
        <v>561</v>
      </c>
      <c r="C257" s="90"/>
      <c r="D257" s="89">
        <f>COUNTIFS(EQUIPAMENTOS!$A:$A,A257,EQUIPAMENTOS!$F:$F,"&lt;&gt;FLIPERAMA",EQUIPAMENTOS!$F:$F,"&lt;&gt;VERIFICAR")</f>
        <v>1</v>
      </c>
      <c r="E257" s="89" t="s">
        <v>562</v>
      </c>
      <c r="F257" s="89" t="s">
        <v>2225</v>
      </c>
      <c r="G257" s="89">
        <f>VLOOKUP(F257,PACOTES!B:E,4,FALSE)</f>
        <v>1</v>
      </c>
      <c r="H257" s="89"/>
    </row>
    <row r="258" spans="1:8" ht="15.75" hidden="1">
      <c r="A258" s="95">
        <v>258</v>
      </c>
      <c r="B258" s="89" t="s">
        <v>563</v>
      </c>
      <c r="C258" s="90"/>
      <c r="D258" s="89">
        <f>COUNTIFS(EQUIPAMENTOS!$A:$A,A258,EQUIPAMENTOS!$F:$F,"&lt;&gt;FLIPERAMA",EQUIPAMENTOS!$F:$F,"&lt;&gt;VERIFICAR")</f>
        <v>1</v>
      </c>
      <c r="E258" s="89" t="s">
        <v>564</v>
      </c>
      <c r="F258" s="89" t="s">
        <v>2220</v>
      </c>
      <c r="G258" s="89">
        <f>VLOOKUP(F258,PACOTES!B:E,4,FALSE)</f>
        <v>6</v>
      </c>
      <c r="H258" s="89"/>
    </row>
    <row r="259" spans="1:8" ht="15.75" hidden="1">
      <c r="A259" s="95">
        <v>259</v>
      </c>
      <c r="B259" s="89" t="s">
        <v>565</v>
      </c>
      <c r="C259" s="90"/>
      <c r="D259" s="89">
        <f>COUNTIFS(EQUIPAMENTOS!$A:$A,A259,EQUIPAMENTOS!$F:$F,"&lt;&gt;FLIPERAMA",EQUIPAMENTOS!$F:$F,"&lt;&gt;VERIFICAR")</f>
        <v>2</v>
      </c>
      <c r="E259" s="89" t="s">
        <v>566</v>
      </c>
      <c r="F259" s="89" t="s">
        <v>2221</v>
      </c>
      <c r="G259" s="89">
        <f>VLOOKUP(F259,PACOTES!B:E,4,FALSE)</f>
        <v>5</v>
      </c>
      <c r="H259" s="89"/>
    </row>
    <row r="260" spans="1:8" ht="15.75" hidden="1">
      <c r="A260" s="95">
        <v>260</v>
      </c>
      <c r="B260" s="89" t="s">
        <v>567</v>
      </c>
      <c r="C260" s="90"/>
      <c r="D260" s="89">
        <f>COUNTIFS(EQUIPAMENTOS!$A:$A,A260,EQUIPAMENTOS!$F:$F,"&lt;&gt;FLIPERAMA",EQUIPAMENTOS!$F:$F,"&lt;&gt;VERIFICAR")</f>
        <v>1</v>
      </c>
      <c r="E260" s="89" t="s">
        <v>568</v>
      </c>
      <c r="F260" s="89" t="s">
        <v>2224</v>
      </c>
      <c r="G260" s="89">
        <f>VLOOKUP(F260,PACOTES!B:E,4,FALSE)</f>
        <v>2</v>
      </c>
      <c r="H260" s="89"/>
    </row>
    <row r="261" spans="1:8" ht="15.75" hidden="1">
      <c r="A261" s="95">
        <v>261</v>
      </c>
      <c r="B261" s="89" t="s">
        <v>569</v>
      </c>
      <c r="C261" s="90"/>
      <c r="D261" s="89">
        <f>COUNTIFS(EQUIPAMENTOS!$A:$A,A261,EQUIPAMENTOS!$F:$F,"&lt;&gt;FLIPERAMA",EQUIPAMENTOS!$F:$F,"&lt;&gt;VERIFICAR")</f>
        <v>1</v>
      </c>
      <c r="E261" s="89" t="s">
        <v>570</v>
      </c>
      <c r="F261" s="89" t="s">
        <v>2218</v>
      </c>
      <c r="G261" s="89">
        <f>VLOOKUP(F261,PACOTES!B:E,4,FALSE)</f>
        <v>8</v>
      </c>
      <c r="H261" s="89"/>
    </row>
    <row r="262" spans="1:8" ht="15.75" hidden="1">
      <c r="A262" s="95">
        <v>262</v>
      </c>
      <c r="B262" s="89" t="s">
        <v>571</v>
      </c>
      <c r="C262" s="90"/>
      <c r="D262" s="89">
        <f>COUNTIFS(EQUIPAMENTOS!$A:$A,A262,EQUIPAMENTOS!$F:$F,"&lt;&gt;FLIPERAMA",EQUIPAMENTOS!$F:$F,"&lt;&gt;VERIFICAR")</f>
        <v>1</v>
      </c>
      <c r="E262" s="89" t="s">
        <v>572</v>
      </c>
      <c r="F262" s="89" t="s">
        <v>2224</v>
      </c>
      <c r="G262" s="89">
        <f>VLOOKUP(F262,PACOTES!B:E,4,FALSE)</f>
        <v>2</v>
      </c>
      <c r="H262" s="89"/>
    </row>
    <row r="263" spans="1:8" ht="15.75" hidden="1">
      <c r="A263" s="95">
        <v>263</v>
      </c>
      <c r="B263" s="89" t="s">
        <v>573</v>
      </c>
      <c r="C263" s="90"/>
      <c r="D263" s="89">
        <f>COUNTIFS(EQUIPAMENTOS!$A:$A,A263,EQUIPAMENTOS!$F:$F,"&lt;&gt;FLIPERAMA",EQUIPAMENTOS!$F:$F,"&lt;&gt;VERIFICAR")</f>
        <v>1</v>
      </c>
      <c r="E263" s="89" t="s">
        <v>574</v>
      </c>
      <c r="F263" s="89" t="s">
        <v>2224</v>
      </c>
      <c r="G263" s="89">
        <f>VLOOKUP(F263,PACOTES!B:E,4,FALSE)</f>
        <v>2</v>
      </c>
      <c r="H263" s="89"/>
    </row>
    <row r="264" spans="1:8" ht="15.75" hidden="1">
      <c r="A264" s="95">
        <v>264</v>
      </c>
      <c r="B264" s="89" t="s">
        <v>575</v>
      </c>
      <c r="C264" s="90"/>
      <c r="D264" s="89">
        <f>COUNTIFS(EQUIPAMENTOS!$A:$A,A264,EQUIPAMENTOS!$F:$F,"&lt;&gt;FLIPERAMA",EQUIPAMENTOS!$F:$F,"&lt;&gt;VERIFICAR")</f>
        <v>1</v>
      </c>
      <c r="E264" s="89" t="s">
        <v>576</v>
      </c>
      <c r="F264" s="89" t="s">
        <v>2220</v>
      </c>
      <c r="G264" s="89">
        <f>VLOOKUP(F264,PACOTES!B:E,4,FALSE)</f>
        <v>6</v>
      </c>
      <c r="H264" s="89"/>
    </row>
    <row r="265" spans="1:8" ht="15.75" hidden="1">
      <c r="A265" s="95">
        <v>265</v>
      </c>
      <c r="B265" s="89" t="s">
        <v>577</v>
      </c>
      <c r="C265" s="90"/>
      <c r="D265" s="89">
        <f>COUNTIFS(EQUIPAMENTOS!$A:$A,A265,EQUIPAMENTOS!$F:$F,"&lt;&gt;FLIPERAMA",EQUIPAMENTOS!$F:$F,"&lt;&gt;VERIFICAR")</f>
        <v>1</v>
      </c>
      <c r="E265" s="89" t="s">
        <v>578</v>
      </c>
      <c r="F265" s="89" t="s">
        <v>2217</v>
      </c>
      <c r="G265" s="89">
        <f>VLOOKUP(F265,PACOTES!B:E,4,FALSE)</f>
        <v>9</v>
      </c>
      <c r="H265" s="89"/>
    </row>
    <row r="266" spans="1:8" ht="15.75" hidden="1">
      <c r="A266" s="95">
        <v>266</v>
      </c>
      <c r="B266" s="89" t="s">
        <v>579</v>
      </c>
      <c r="C266" s="90" t="s">
        <v>580</v>
      </c>
      <c r="D266" s="89">
        <f>COUNTIFS(EQUIPAMENTOS!$A:$A,A266,EQUIPAMENTOS!$F:$F,"&lt;&gt;FLIPERAMA",EQUIPAMENTOS!$F:$F,"&lt;&gt;VERIFICAR")</f>
        <v>7</v>
      </c>
      <c r="E266" s="89" t="s">
        <v>581</v>
      </c>
      <c r="F266" s="89" t="s">
        <v>2226</v>
      </c>
      <c r="G266" s="89">
        <f>VLOOKUP(F266,PACOTES!B:E,4,FALSE)</f>
        <v>0</v>
      </c>
      <c r="H266" s="89" t="s">
        <v>134</v>
      </c>
    </row>
    <row r="267" spans="1:8" ht="15.75" hidden="1">
      <c r="A267" s="95">
        <v>267</v>
      </c>
      <c r="B267" s="89" t="s">
        <v>582</v>
      </c>
      <c r="C267" s="90"/>
      <c r="D267" s="89">
        <f>COUNTIFS(EQUIPAMENTOS!$A:$A,A267,EQUIPAMENTOS!$F:$F,"&lt;&gt;FLIPERAMA",EQUIPAMENTOS!$F:$F,"&lt;&gt;VERIFICAR")</f>
        <v>2</v>
      </c>
      <c r="E267" s="89" t="s">
        <v>583</v>
      </c>
      <c r="F267" s="89" t="s">
        <v>2224</v>
      </c>
      <c r="G267" s="89">
        <f>VLOOKUP(F267,PACOTES!B:E,4,FALSE)</f>
        <v>2</v>
      </c>
      <c r="H267" s="89"/>
    </row>
    <row r="268" spans="1:8" ht="15.75" hidden="1">
      <c r="A268" s="95">
        <v>268</v>
      </c>
      <c r="B268" s="89" t="s">
        <v>584</v>
      </c>
      <c r="C268" s="90"/>
      <c r="D268" s="89">
        <f>COUNTIFS(EQUIPAMENTOS!$A:$A,A268,EQUIPAMENTOS!$F:$F,"&lt;&gt;FLIPERAMA",EQUIPAMENTOS!$F:$F,"&lt;&gt;VERIFICAR")</f>
        <v>1</v>
      </c>
      <c r="E268" s="89" t="s">
        <v>585</v>
      </c>
      <c r="F268" s="89" t="s">
        <v>2222</v>
      </c>
      <c r="G268" s="89">
        <f>VLOOKUP(F268,PACOTES!B:E,4,FALSE)</f>
        <v>4</v>
      </c>
      <c r="H268" s="89"/>
    </row>
    <row r="269" spans="1:8" ht="15.75" hidden="1">
      <c r="A269" s="95">
        <v>269</v>
      </c>
      <c r="B269" s="89" t="s">
        <v>586</v>
      </c>
      <c r="C269" s="90"/>
      <c r="D269" s="89">
        <f>COUNTIFS(EQUIPAMENTOS!$A:$A,A269,EQUIPAMENTOS!$F:$F,"&lt;&gt;FLIPERAMA",EQUIPAMENTOS!$F:$F,"&lt;&gt;VERIFICAR")</f>
        <v>5</v>
      </c>
      <c r="E269" s="89" t="s">
        <v>587</v>
      </c>
      <c r="F269" s="89" t="s">
        <v>2225</v>
      </c>
      <c r="G269" s="89">
        <f>VLOOKUP(F269,PACOTES!B:E,4,FALSE)</f>
        <v>1</v>
      </c>
      <c r="H269" s="89"/>
    </row>
    <row r="270" spans="1:8" ht="31.5" hidden="1">
      <c r="A270" s="95">
        <v>270</v>
      </c>
      <c r="B270" s="89" t="s">
        <v>588</v>
      </c>
      <c r="C270" s="90" t="s">
        <v>589</v>
      </c>
      <c r="D270" s="89">
        <f>COUNTIFS(EQUIPAMENTOS!$A:$A,A270,EQUIPAMENTOS!$F:$F,"&lt;&gt;FLIPERAMA",EQUIPAMENTOS!$F:$F,"&lt;&gt;VERIFICAR")</f>
        <v>5</v>
      </c>
      <c r="E270" s="89" t="s">
        <v>590</v>
      </c>
      <c r="F270" s="89" t="s">
        <v>2224</v>
      </c>
      <c r="G270" s="89">
        <f>VLOOKUP(F270,PACOTES!B:E,4,FALSE)</f>
        <v>2</v>
      </c>
      <c r="H270" s="89" t="s">
        <v>134</v>
      </c>
    </row>
    <row r="271" spans="1:8" ht="15.75" hidden="1">
      <c r="A271" s="95">
        <v>271</v>
      </c>
      <c r="B271" s="89" t="s">
        <v>591</v>
      </c>
      <c r="C271" s="90"/>
      <c r="D271" s="89">
        <f>COUNTIFS(EQUIPAMENTOS!$A:$A,A271,EQUIPAMENTOS!$F:$F,"&lt;&gt;FLIPERAMA",EQUIPAMENTOS!$F:$F,"&lt;&gt;VERIFICAR")</f>
        <v>1</v>
      </c>
      <c r="E271" s="89" t="s">
        <v>592</v>
      </c>
      <c r="F271" s="89" t="s">
        <v>2221</v>
      </c>
      <c r="G271" s="89">
        <f>VLOOKUP(F271,PACOTES!B:E,4,FALSE)</f>
        <v>5</v>
      </c>
      <c r="H271" s="89"/>
    </row>
    <row r="272" spans="1:8" ht="15.75" hidden="1">
      <c r="A272" s="95">
        <v>272</v>
      </c>
      <c r="B272" s="89" t="s">
        <v>593</v>
      </c>
      <c r="C272" s="90"/>
      <c r="D272" s="89">
        <f>COUNTIFS(EQUIPAMENTOS!$A:$A,A272,EQUIPAMENTOS!$F:$F,"&lt;&gt;FLIPERAMA",EQUIPAMENTOS!$F:$F,"&lt;&gt;VERIFICAR")</f>
        <v>8</v>
      </c>
      <c r="E272" s="89" t="s">
        <v>594</v>
      </c>
      <c r="F272" s="89" t="s">
        <v>2221</v>
      </c>
      <c r="G272" s="89">
        <f>VLOOKUP(F272,PACOTES!B:E,4,FALSE)</f>
        <v>5</v>
      </c>
      <c r="H272" s="89"/>
    </row>
    <row r="273" spans="1:8" ht="15.75" hidden="1">
      <c r="A273" s="95">
        <v>273</v>
      </c>
      <c r="B273" s="89" t="s">
        <v>595</v>
      </c>
      <c r="C273" s="90"/>
      <c r="D273" s="89">
        <f>COUNTIFS(EQUIPAMENTOS!$A:$A,A273,EQUIPAMENTOS!$F:$F,"&lt;&gt;FLIPERAMA",EQUIPAMENTOS!$F:$F,"&lt;&gt;VERIFICAR")</f>
        <v>1</v>
      </c>
      <c r="E273" s="89" t="s">
        <v>596</v>
      </c>
      <c r="F273" s="89" t="s">
        <v>2221</v>
      </c>
      <c r="G273" s="89">
        <f>VLOOKUP(F273,PACOTES!B:E,4,FALSE)</f>
        <v>5</v>
      </c>
      <c r="H273" s="89"/>
    </row>
    <row r="274" spans="1:8" ht="15.75" hidden="1">
      <c r="A274" s="95">
        <v>274</v>
      </c>
      <c r="B274" s="89" t="s">
        <v>597</v>
      </c>
      <c r="C274" s="90"/>
      <c r="D274" s="89">
        <f>COUNTIFS(EQUIPAMENTOS!$A:$A,A274,EQUIPAMENTOS!$F:$F,"&lt;&gt;FLIPERAMA",EQUIPAMENTOS!$F:$F,"&lt;&gt;VERIFICAR")</f>
        <v>2</v>
      </c>
      <c r="E274" s="89" t="s">
        <v>598</v>
      </c>
      <c r="F274" s="89" t="s">
        <v>2225</v>
      </c>
      <c r="G274" s="89">
        <f>VLOOKUP(F274,PACOTES!B:E,4,FALSE)</f>
        <v>1</v>
      </c>
      <c r="H274" s="89"/>
    </row>
    <row r="275" spans="1:8" ht="15.75" hidden="1">
      <c r="A275" s="95">
        <v>275</v>
      </c>
      <c r="B275" s="89" t="s">
        <v>599</v>
      </c>
      <c r="C275" s="90"/>
      <c r="D275" s="89">
        <f>COUNTIFS(EQUIPAMENTOS!$A:$A,A275,EQUIPAMENTOS!$F:$F,"&lt;&gt;FLIPERAMA",EQUIPAMENTOS!$F:$F,"&lt;&gt;VERIFICAR")</f>
        <v>1</v>
      </c>
      <c r="E275" s="89" t="s">
        <v>600</v>
      </c>
      <c r="F275" s="89" t="s">
        <v>2221</v>
      </c>
      <c r="G275" s="89">
        <f>VLOOKUP(F275,PACOTES!B:E,4,FALSE)</f>
        <v>5</v>
      </c>
      <c r="H275" s="89"/>
    </row>
    <row r="276" spans="1:8" ht="15.75" hidden="1">
      <c r="A276" s="95">
        <v>276</v>
      </c>
      <c r="B276" s="89" t="s">
        <v>601</v>
      </c>
      <c r="C276" s="90"/>
      <c r="D276" s="89">
        <f>COUNTIFS(EQUIPAMENTOS!$A:$A,A276,EQUIPAMENTOS!$F:$F,"&lt;&gt;FLIPERAMA",EQUIPAMENTOS!$F:$F,"&lt;&gt;VERIFICAR")</f>
        <v>1</v>
      </c>
      <c r="E276" s="89" t="s">
        <v>602</v>
      </c>
      <c r="F276" s="89" t="s">
        <v>2223</v>
      </c>
      <c r="G276" s="89">
        <f>VLOOKUP(F276,PACOTES!B:E,4,FALSE)</f>
        <v>3</v>
      </c>
      <c r="H276" s="89"/>
    </row>
    <row r="277" spans="1:8" ht="15.75" hidden="1">
      <c r="A277" s="95">
        <v>277</v>
      </c>
      <c r="B277" s="89" t="s">
        <v>603</v>
      </c>
      <c r="C277" s="90"/>
      <c r="D277" s="89">
        <f>COUNTIFS(EQUIPAMENTOS!$A:$A,A277,EQUIPAMENTOS!$F:$F,"&lt;&gt;FLIPERAMA",EQUIPAMENTOS!$F:$F,"&lt;&gt;VERIFICAR")</f>
        <v>1</v>
      </c>
      <c r="E277" s="89" t="s">
        <v>604</v>
      </c>
      <c r="F277" s="89" t="s">
        <v>2222</v>
      </c>
      <c r="G277" s="89">
        <f>VLOOKUP(F277,PACOTES!B:E,4,FALSE)</f>
        <v>4</v>
      </c>
      <c r="H277" s="89"/>
    </row>
    <row r="278" spans="1:8" ht="15.75" hidden="1">
      <c r="A278" s="95">
        <v>278</v>
      </c>
      <c r="B278" s="89" t="s">
        <v>605</v>
      </c>
      <c r="C278" s="90"/>
      <c r="D278" s="89">
        <f>COUNTIFS(EQUIPAMENTOS!$A:$A,A278,EQUIPAMENTOS!$F:$F,"&lt;&gt;FLIPERAMA",EQUIPAMENTOS!$F:$F,"&lt;&gt;VERIFICAR")</f>
        <v>1</v>
      </c>
      <c r="E278" s="89" t="s">
        <v>606</v>
      </c>
      <c r="F278" s="89" t="s">
        <v>2226</v>
      </c>
      <c r="G278" s="89">
        <f>VLOOKUP(F278,PACOTES!B:E,4,FALSE)</f>
        <v>0</v>
      </c>
      <c r="H278" s="89"/>
    </row>
    <row r="279" spans="1:8" ht="15.75" hidden="1">
      <c r="A279" s="95">
        <v>279</v>
      </c>
      <c r="B279" s="89" t="s">
        <v>607</v>
      </c>
      <c r="C279" s="90"/>
      <c r="D279" s="89">
        <f>COUNTIFS(EQUIPAMENTOS!$A:$A,A279,EQUIPAMENTOS!$F:$F,"&lt;&gt;FLIPERAMA",EQUIPAMENTOS!$F:$F,"&lt;&gt;VERIFICAR")</f>
        <v>1</v>
      </c>
      <c r="E279" s="89" t="s">
        <v>608</v>
      </c>
      <c r="F279" s="89" t="s">
        <v>2221</v>
      </c>
      <c r="G279" s="89">
        <f>VLOOKUP(F279,PACOTES!B:E,4,FALSE)</f>
        <v>5</v>
      </c>
      <c r="H279" s="89"/>
    </row>
    <row r="280" spans="1:8" ht="15.75" hidden="1">
      <c r="A280" s="95">
        <v>280</v>
      </c>
      <c r="B280" s="89" t="s">
        <v>609</v>
      </c>
      <c r="C280" s="90"/>
      <c r="D280" s="89">
        <f>COUNTIFS(EQUIPAMENTOS!$A:$A,A280,EQUIPAMENTOS!$F:$F,"&lt;&gt;FLIPERAMA",EQUIPAMENTOS!$F:$F,"&lt;&gt;VERIFICAR")</f>
        <v>1</v>
      </c>
      <c r="E280" s="89" t="s">
        <v>610</v>
      </c>
      <c r="F280" s="89" t="s">
        <v>2221</v>
      </c>
      <c r="G280" s="89">
        <f>VLOOKUP(F280,PACOTES!B:E,4,FALSE)</f>
        <v>5</v>
      </c>
      <c r="H280" s="89"/>
    </row>
    <row r="281" spans="1:8" ht="15.75" hidden="1">
      <c r="A281" s="95">
        <v>281</v>
      </c>
      <c r="B281" s="89" t="s">
        <v>611</v>
      </c>
      <c r="C281" s="90"/>
      <c r="D281" s="89">
        <f>COUNTIFS(EQUIPAMENTOS!$A:$A,A281,EQUIPAMENTOS!$F:$F,"&lt;&gt;FLIPERAMA",EQUIPAMENTOS!$F:$F,"&lt;&gt;VERIFICAR")</f>
        <v>1</v>
      </c>
      <c r="E281" s="89" t="s">
        <v>612</v>
      </c>
      <c r="F281" s="89" t="s">
        <v>2222</v>
      </c>
      <c r="G281" s="89">
        <f>VLOOKUP(F281,PACOTES!B:E,4,FALSE)</f>
        <v>4</v>
      </c>
      <c r="H281" s="89"/>
    </row>
    <row r="282" spans="1:8" ht="15.75" hidden="1">
      <c r="A282" s="95">
        <v>282</v>
      </c>
      <c r="B282" s="89" t="s">
        <v>613</v>
      </c>
      <c r="C282" s="90"/>
      <c r="D282" s="89">
        <f>COUNTIFS(EQUIPAMENTOS!$A:$A,A282,EQUIPAMENTOS!$F:$F,"&lt;&gt;FLIPERAMA",EQUIPAMENTOS!$F:$F,"&lt;&gt;VERIFICAR")</f>
        <v>1</v>
      </c>
      <c r="E282" s="89" t="s">
        <v>614</v>
      </c>
      <c r="F282" s="89" t="s">
        <v>2222</v>
      </c>
      <c r="G282" s="89">
        <f>VLOOKUP(F282,PACOTES!B:E,4,FALSE)</f>
        <v>4</v>
      </c>
      <c r="H282" s="89"/>
    </row>
    <row r="283" spans="1:8" ht="15.75" hidden="1">
      <c r="A283" s="95">
        <v>283</v>
      </c>
      <c r="B283" s="89" t="s">
        <v>615</v>
      </c>
      <c r="C283" s="90"/>
      <c r="D283" s="89">
        <f>COUNTIFS(EQUIPAMENTOS!$A:$A,A283,EQUIPAMENTOS!$F:$F,"&lt;&gt;FLIPERAMA",EQUIPAMENTOS!$F:$F,"&lt;&gt;VERIFICAR")</f>
        <v>2</v>
      </c>
      <c r="E283" s="89" t="s">
        <v>616</v>
      </c>
      <c r="F283" s="89" t="s">
        <v>2224</v>
      </c>
      <c r="G283" s="89">
        <f>VLOOKUP(F283,PACOTES!B:E,4,FALSE)</f>
        <v>2</v>
      </c>
      <c r="H283" s="89"/>
    </row>
    <row r="284" spans="1:8" ht="15.75" hidden="1">
      <c r="A284" s="95">
        <v>284</v>
      </c>
      <c r="B284" s="89" t="s">
        <v>617</v>
      </c>
      <c r="C284" s="90"/>
      <c r="D284" s="89">
        <f>COUNTIFS(EQUIPAMENTOS!$A:$A,A284,EQUIPAMENTOS!$F:$F,"&lt;&gt;FLIPERAMA",EQUIPAMENTOS!$F:$F,"&lt;&gt;VERIFICAR")</f>
        <v>2</v>
      </c>
      <c r="E284" s="89" t="s">
        <v>618</v>
      </c>
      <c r="F284" s="89" t="s">
        <v>2217</v>
      </c>
      <c r="G284" s="89">
        <f>VLOOKUP(F284,PACOTES!B:E,4,FALSE)</f>
        <v>9</v>
      </c>
      <c r="H284" s="89"/>
    </row>
    <row r="285" spans="1:8" ht="15.75" hidden="1">
      <c r="A285" s="95">
        <v>285</v>
      </c>
      <c r="B285" s="89" t="s">
        <v>619</v>
      </c>
      <c r="C285" s="90"/>
      <c r="D285" s="89">
        <f>COUNTIFS(EQUIPAMENTOS!$A:$A,A285,EQUIPAMENTOS!$F:$F,"&lt;&gt;FLIPERAMA",EQUIPAMENTOS!$F:$F,"&lt;&gt;VERIFICAR")</f>
        <v>1</v>
      </c>
      <c r="E285" s="89" t="s">
        <v>620</v>
      </c>
      <c r="F285" s="89" t="s">
        <v>2225</v>
      </c>
      <c r="G285" s="89">
        <f>VLOOKUP(F285,PACOTES!B:E,4,FALSE)</f>
        <v>1</v>
      </c>
      <c r="H285" s="89"/>
    </row>
    <row r="286" spans="1:8" ht="15.75" hidden="1">
      <c r="A286" s="95">
        <v>286</v>
      </c>
      <c r="B286" s="89" t="s">
        <v>621</v>
      </c>
      <c r="C286" s="90"/>
      <c r="D286" s="89">
        <f>COUNTIFS(EQUIPAMENTOS!$A:$A,A286,EQUIPAMENTOS!$F:$F,"&lt;&gt;FLIPERAMA",EQUIPAMENTOS!$F:$F,"&lt;&gt;VERIFICAR")</f>
        <v>1</v>
      </c>
      <c r="E286" s="89" t="s">
        <v>622</v>
      </c>
      <c r="F286" s="89" t="s">
        <v>2224</v>
      </c>
      <c r="G286" s="89">
        <f>VLOOKUP(F286,PACOTES!B:E,4,FALSE)</f>
        <v>2</v>
      </c>
      <c r="H286" s="89"/>
    </row>
    <row r="287" spans="1:8" ht="15.75" hidden="1">
      <c r="A287" s="95">
        <v>287</v>
      </c>
      <c r="B287" s="89" t="s">
        <v>623</v>
      </c>
      <c r="C287" s="90"/>
      <c r="D287" s="89">
        <f>COUNTIFS(EQUIPAMENTOS!$A:$A,A287,EQUIPAMENTOS!$F:$F,"&lt;&gt;FLIPERAMA",EQUIPAMENTOS!$F:$F,"&lt;&gt;VERIFICAR")</f>
        <v>1</v>
      </c>
      <c r="E287" s="89" t="s">
        <v>624</v>
      </c>
      <c r="F287" s="89" t="s">
        <v>2218</v>
      </c>
      <c r="G287" s="89">
        <f>VLOOKUP(F287,PACOTES!B:E,4,FALSE)</f>
        <v>8</v>
      </c>
      <c r="H287" s="89"/>
    </row>
    <row r="288" spans="1:8" ht="15.75" hidden="1">
      <c r="A288" s="95">
        <v>288</v>
      </c>
      <c r="B288" s="89" t="s">
        <v>625</v>
      </c>
      <c r="C288" s="90"/>
      <c r="D288" s="89">
        <f>COUNTIFS(EQUIPAMENTOS!$A:$A,A288,EQUIPAMENTOS!$F:$F,"&lt;&gt;FLIPERAMA",EQUIPAMENTOS!$F:$F,"&lt;&gt;VERIFICAR")</f>
        <v>1</v>
      </c>
      <c r="E288" s="89" t="s">
        <v>626</v>
      </c>
      <c r="F288" s="89" t="s">
        <v>2221</v>
      </c>
      <c r="G288" s="89">
        <f>VLOOKUP(F288,PACOTES!B:E,4,FALSE)</f>
        <v>5</v>
      </c>
      <c r="H288" s="89"/>
    </row>
    <row r="289" spans="1:8" ht="15.75" hidden="1">
      <c r="A289" s="95">
        <v>289</v>
      </c>
      <c r="B289" s="89" t="s">
        <v>627</v>
      </c>
      <c r="C289" s="90"/>
      <c r="D289" s="89">
        <f>COUNTIFS(EQUIPAMENTOS!$A:$A,A289,EQUIPAMENTOS!$F:$F,"&lt;&gt;FLIPERAMA",EQUIPAMENTOS!$F:$F,"&lt;&gt;VERIFICAR")</f>
        <v>1</v>
      </c>
      <c r="E289" s="89" t="s">
        <v>628</v>
      </c>
      <c r="F289" s="89" t="s">
        <v>2221</v>
      </c>
      <c r="G289" s="89">
        <f>VLOOKUP(F289,PACOTES!B:E,4,FALSE)</f>
        <v>5</v>
      </c>
      <c r="H289" s="89"/>
    </row>
    <row r="290" spans="1:8" ht="15.75" hidden="1">
      <c r="A290" s="95">
        <v>290</v>
      </c>
      <c r="B290" s="89" t="s">
        <v>629</v>
      </c>
      <c r="C290" s="90"/>
      <c r="D290" s="89">
        <f>COUNTIFS(EQUIPAMENTOS!$A:$A,A290,EQUIPAMENTOS!$F:$F,"&lt;&gt;FLIPERAMA",EQUIPAMENTOS!$F:$F,"&lt;&gt;VERIFICAR")</f>
        <v>1</v>
      </c>
      <c r="E290" s="89" t="s">
        <v>630</v>
      </c>
      <c r="F290" s="89" t="s">
        <v>2217</v>
      </c>
      <c r="G290" s="89">
        <f>VLOOKUP(F290,PACOTES!B:E,4,FALSE)</f>
        <v>9</v>
      </c>
      <c r="H290" s="89"/>
    </row>
    <row r="291" spans="1:8" ht="15.75" hidden="1">
      <c r="A291" s="95">
        <v>291</v>
      </c>
      <c r="B291" s="89" t="s">
        <v>631</v>
      </c>
      <c r="C291" s="90"/>
      <c r="D291" s="89">
        <f>COUNTIFS(EQUIPAMENTOS!$A:$A,A291,EQUIPAMENTOS!$F:$F,"&lt;&gt;FLIPERAMA",EQUIPAMENTOS!$F:$F,"&lt;&gt;VERIFICAR")</f>
        <v>1</v>
      </c>
      <c r="E291" s="89" t="s">
        <v>632</v>
      </c>
      <c r="F291" s="89" t="s">
        <v>2218</v>
      </c>
      <c r="G291" s="89">
        <f>VLOOKUP(F291,PACOTES!B:E,4,FALSE)</f>
        <v>8</v>
      </c>
      <c r="H291" s="89"/>
    </row>
    <row r="292" spans="1:8" ht="15.75" hidden="1">
      <c r="A292" s="95">
        <v>292</v>
      </c>
      <c r="B292" s="89" t="s">
        <v>633</v>
      </c>
      <c r="C292" s="90"/>
      <c r="D292" s="89">
        <f>COUNTIFS(EQUIPAMENTOS!$A:$A,A292,EQUIPAMENTOS!$F:$F,"&lt;&gt;FLIPERAMA",EQUIPAMENTOS!$F:$F,"&lt;&gt;VERIFICAR")</f>
        <v>1</v>
      </c>
      <c r="E292" s="89" t="s">
        <v>634</v>
      </c>
      <c r="F292" s="89" t="s">
        <v>2218</v>
      </c>
      <c r="G292" s="89">
        <f>VLOOKUP(F292,PACOTES!B:E,4,FALSE)</f>
        <v>8</v>
      </c>
      <c r="H292" s="89"/>
    </row>
    <row r="293" spans="1:8" ht="15.75" hidden="1">
      <c r="A293" s="95">
        <v>293</v>
      </c>
      <c r="B293" s="89" t="s">
        <v>635</v>
      </c>
      <c r="C293" s="90"/>
      <c r="D293" s="89">
        <f>COUNTIFS(EQUIPAMENTOS!$A:$A,A293,EQUIPAMENTOS!$F:$F,"&lt;&gt;FLIPERAMA",EQUIPAMENTOS!$F:$F,"&lt;&gt;VERIFICAR")</f>
        <v>1</v>
      </c>
      <c r="E293" s="89" t="s">
        <v>636</v>
      </c>
      <c r="F293" s="89" t="s">
        <v>2222</v>
      </c>
      <c r="G293" s="89">
        <f>VLOOKUP(F293,PACOTES!B:E,4,FALSE)</f>
        <v>4</v>
      </c>
      <c r="H293" s="89"/>
    </row>
    <row r="294" spans="1:8" ht="15.75" hidden="1">
      <c r="A294" s="95">
        <v>294</v>
      </c>
      <c r="B294" s="89" t="s">
        <v>637</v>
      </c>
      <c r="C294" s="90"/>
      <c r="D294" s="89">
        <f>COUNTIFS(EQUIPAMENTOS!$A:$A,A294,EQUIPAMENTOS!$F:$F,"&lt;&gt;FLIPERAMA",EQUIPAMENTOS!$F:$F,"&lt;&gt;VERIFICAR")</f>
        <v>1</v>
      </c>
      <c r="E294" s="89" t="s">
        <v>638</v>
      </c>
      <c r="F294" s="89" t="s">
        <v>2220</v>
      </c>
      <c r="G294" s="89">
        <f>VLOOKUP(F294,PACOTES!B:E,4,FALSE)</f>
        <v>6</v>
      </c>
      <c r="H294" s="89"/>
    </row>
    <row r="295" spans="1:8" ht="15.75" hidden="1">
      <c r="A295" s="95">
        <v>295</v>
      </c>
      <c r="B295" s="89" t="s">
        <v>639</v>
      </c>
      <c r="C295" s="90"/>
      <c r="D295" s="89">
        <f>COUNTIFS(EQUIPAMENTOS!$A:$A,A295,EQUIPAMENTOS!$F:$F,"&lt;&gt;FLIPERAMA",EQUIPAMENTOS!$F:$F,"&lt;&gt;VERIFICAR")</f>
        <v>1</v>
      </c>
      <c r="E295" s="89" t="s">
        <v>640</v>
      </c>
      <c r="F295" s="89" t="s">
        <v>2217</v>
      </c>
      <c r="G295" s="89">
        <f>VLOOKUP(F295,PACOTES!B:E,4,FALSE)</f>
        <v>9</v>
      </c>
      <c r="H295" s="89"/>
    </row>
    <row r="296" spans="1:8" ht="15.75" hidden="1">
      <c r="A296" s="95">
        <v>296</v>
      </c>
      <c r="B296" s="89" t="s">
        <v>641</v>
      </c>
      <c r="C296" s="90"/>
      <c r="D296" s="89">
        <f>COUNTIFS(EQUIPAMENTOS!$A:$A,A296,EQUIPAMENTOS!$F:$F,"&lt;&gt;FLIPERAMA",EQUIPAMENTOS!$F:$F,"&lt;&gt;VERIFICAR")</f>
        <v>1</v>
      </c>
      <c r="E296" s="89" t="s">
        <v>642</v>
      </c>
      <c r="F296" s="89" t="s">
        <v>2216</v>
      </c>
      <c r="G296" s="89">
        <f>VLOOKUP(F296,PACOTES!B:E,4,FALSE)</f>
        <v>10</v>
      </c>
      <c r="H296" s="89"/>
    </row>
    <row r="297" spans="1:8" ht="15.75" hidden="1">
      <c r="A297" s="95">
        <v>297</v>
      </c>
      <c r="B297" s="89" t="s">
        <v>643</v>
      </c>
      <c r="C297" s="90"/>
      <c r="D297" s="89">
        <f>COUNTIFS(EQUIPAMENTOS!$A:$A,A297,EQUIPAMENTOS!$F:$F,"&lt;&gt;FLIPERAMA",EQUIPAMENTOS!$F:$F,"&lt;&gt;VERIFICAR")</f>
        <v>1</v>
      </c>
      <c r="E297" s="89" t="s">
        <v>644</v>
      </c>
      <c r="F297" s="89" t="s">
        <v>2225</v>
      </c>
      <c r="G297" s="89">
        <f>VLOOKUP(F297,PACOTES!B:E,4,FALSE)</f>
        <v>1</v>
      </c>
      <c r="H297" s="89" t="s">
        <v>419</v>
      </c>
    </row>
    <row r="298" spans="1:8" ht="15.75" hidden="1">
      <c r="A298" s="95">
        <v>298</v>
      </c>
      <c r="B298" s="89" t="s">
        <v>645</v>
      </c>
      <c r="C298" s="90"/>
      <c r="D298" s="89">
        <f>COUNTIFS(EQUIPAMENTOS!$A:$A,A298,EQUIPAMENTOS!$F:$F,"&lt;&gt;FLIPERAMA",EQUIPAMENTOS!$F:$F,"&lt;&gt;VERIFICAR")</f>
        <v>1</v>
      </c>
      <c r="E298" s="89" t="s">
        <v>646</v>
      </c>
      <c r="F298" s="89" t="s">
        <v>2224</v>
      </c>
      <c r="G298" s="89">
        <f>VLOOKUP(F298,PACOTES!B:E,4,FALSE)</f>
        <v>2</v>
      </c>
      <c r="H298" s="89"/>
    </row>
    <row r="299" spans="1:8" ht="15.75" hidden="1">
      <c r="A299" s="95">
        <v>299</v>
      </c>
      <c r="B299" s="89" t="s">
        <v>647</v>
      </c>
      <c r="C299" s="90"/>
      <c r="D299" s="89">
        <f>COUNTIFS(EQUIPAMENTOS!$A:$A,A299,EQUIPAMENTOS!$F:$F,"&lt;&gt;FLIPERAMA",EQUIPAMENTOS!$F:$F,"&lt;&gt;VERIFICAR")</f>
        <v>1</v>
      </c>
      <c r="E299" s="89" t="s">
        <v>648</v>
      </c>
      <c r="F299" s="89" t="s">
        <v>2223</v>
      </c>
      <c r="G299" s="89">
        <f>VLOOKUP(F299,PACOTES!B:E,4,FALSE)</f>
        <v>3</v>
      </c>
      <c r="H299" s="89"/>
    </row>
    <row r="300" spans="1:8" ht="15.75" hidden="1">
      <c r="A300" s="95">
        <v>300</v>
      </c>
      <c r="B300" s="89" t="s">
        <v>649</v>
      </c>
      <c r="C300" s="90"/>
      <c r="D300" s="89">
        <f>COUNTIFS(EQUIPAMENTOS!$A:$A,A300,EQUIPAMENTOS!$F:$F,"&lt;&gt;FLIPERAMA",EQUIPAMENTOS!$F:$F,"&lt;&gt;VERIFICAR")</f>
        <v>1</v>
      </c>
      <c r="E300" s="89" t="s">
        <v>650</v>
      </c>
      <c r="F300" s="89" t="s">
        <v>2221</v>
      </c>
      <c r="G300" s="89">
        <f>VLOOKUP(F300,PACOTES!B:E,4,FALSE)</f>
        <v>5</v>
      </c>
      <c r="H300" s="89"/>
    </row>
    <row r="301" spans="1:8" ht="15.75" hidden="1">
      <c r="A301" s="95">
        <v>301</v>
      </c>
      <c r="B301" s="89" t="s">
        <v>651</v>
      </c>
      <c r="C301" s="90"/>
      <c r="D301" s="89">
        <f>COUNTIFS(EQUIPAMENTOS!$A:$A,A301,EQUIPAMENTOS!$F:$F,"&lt;&gt;FLIPERAMA",EQUIPAMENTOS!$F:$F,"&lt;&gt;VERIFICAR")</f>
        <v>1</v>
      </c>
      <c r="E301" s="89" t="s">
        <v>652</v>
      </c>
      <c r="F301" s="89" t="s">
        <v>2216</v>
      </c>
      <c r="G301" s="89">
        <f>VLOOKUP(F301,PACOTES!B:E,4,FALSE)</f>
        <v>10</v>
      </c>
      <c r="H301" s="89"/>
    </row>
    <row r="302" spans="1:8" ht="15.75" hidden="1">
      <c r="A302" s="95">
        <v>302</v>
      </c>
      <c r="B302" s="89" t="s">
        <v>653</v>
      </c>
      <c r="C302" s="90"/>
      <c r="D302" s="89">
        <f>COUNTIFS(EQUIPAMENTOS!$A:$A,A302,EQUIPAMENTOS!$F:$F,"&lt;&gt;FLIPERAMA",EQUIPAMENTOS!$F:$F,"&lt;&gt;VERIFICAR")</f>
        <v>1</v>
      </c>
      <c r="E302" s="89" t="s">
        <v>654</v>
      </c>
      <c r="F302" s="89" t="s">
        <v>2215</v>
      </c>
      <c r="G302" s="89">
        <f>VLOOKUP(F302,PACOTES!B:E,4,FALSE)</f>
        <v>11</v>
      </c>
      <c r="H302" s="89"/>
    </row>
    <row r="303" spans="1:8" ht="15.75" hidden="1">
      <c r="A303" s="95">
        <v>303</v>
      </c>
      <c r="B303" s="89" t="s">
        <v>655</v>
      </c>
      <c r="C303" s="90" t="s">
        <v>656</v>
      </c>
      <c r="D303" s="89">
        <f>COUNTIFS(EQUIPAMENTOS!$A:$A,A303,EQUIPAMENTOS!$F:$F,"&lt;&gt;FLIPERAMA",EQUIPAMENTOS!$F:$F,"&lt;&gt;VERIFICAR")</f>
        <v>2</v>
      </c>
      <c r="E303" s="89" t="s">
        <v>657</v>
      </c>
      <c r="F303" s="89" t="s">
        <v>2226</v>
      </c>
      <c r="G303" s="89">
        <f>VLOOKUP(F303,PACOTES!B:E,4,FALSE)</f>
        <v>0</v>
      </c>
      <c r="H303" s="89" t="s">
        <v>134</v>
      </c>
    </row>
    <row r="304" spans="1:8" ht="15.75" hidden="1">
      <c r="A304" s="95">
        <v>304</v>
      </c>
      <c r="B304" s="89" t="s">
        <v>658</v>
      </c>
      <c r="C304" s="90"/>
      <c r="D304" s="89">
        <f>COUNTIFS(EQUIPAMENTOS!$A:$A,A304,EQUIPAMENTOS!$F:$F,"&lt;&gt;FLIPERAMA",EQUIPAMENTOS!$F:$F,"&lt;&gt;VERIFICAR")</f>
        <v>1</v>
      </c>
      <c r="E304" s="89" t="s">
        <v>659</v>
      </c>
      <c r="F304" s="89" t="s">
        <v>2221</v>
      </c>
      <c r="G304" s="89">
        <f>VLOOKUP(F304,PACOTES!B:E,4,FALSE)</f>
        <v>5</v>
      </c>
      <c r="H304" s="89"/>
    </row>
    <row r="305" spans="1:8" ht="15.75" hidden="1">
      <c r="A305" s="95">
        <v>305</v>
      </c>
      <c r="B305" s="89" t="s">
        <v>660</v>
      </c>
      <c r="C305" s="90"/>
      <c r="D305" s="89">
        <f>COUNTIFS(EQUIPAMENTOS!$A:$A,A305,EQUIPAMENTOS!$F:$F,"&lt;&gt;FLIPERAMA",EQUIPAMENTOS!$F:$F,"&lt;&gt;VERIFICAR")</f>
        <v>1</v>
      </c>
      <c r="E305" s="89" t="s">
        <v>661</v>
      </c>
      <c r="F305" s="89" t="s">
        <v>2218</v>
      </c>
      <c r="G305" s="89">
        <f>VLOOKUP(F305,PACOTES!B:E,4,FALSE)</f>
        <v>8</v>
      </c>
      <c r="H305" s="89"/>
    </row>
    <row r="306" spans="1:8" ht="15.75" hidden="1">
      <c r="A306" s="95">
        <v>306</v>
      </c>
      <c r="B306" s="89" t="s">
        <v>662</v>
      </c>
      <c r="C306" s="90"/>
      <c r="D306" s="89">
        <f>COUNTIFS(EQUIPAMENTOS!$A:$A,A306,EQUIPAMENTOS!$F:$F,"&lt;&gt;FLIPERAMA",EQUIPAMENTOS!$F:$F,"&lt;&gt;VERIFICAR")</f>
        <v>1</v>
      </c>
      <c r="E306" s="89" t="s">
        <v>663</v>
      </c>
      <c r="F306" s="89" t="s">
        <v>2217</v>
      </c>
      <c r="G306" s="89">
        <f>VLOOKUP(F306,PACOTES!B:E,4,FALSE)</f>
        <v>9</v>
      </c>
      <c r="H306" s="89"/>
    </row>
    <row r="307" spans="1:8" ht="15.75" hidden="1">
      <c r="A307" s="95">
        <v>307</v>
      </c>
      <c r="B307" s="89" t="s">
        <v>664</v>
      </c>
      <c r="C307" s="90"/>
      <c r="D307" s="89">
        <f>COUNTIFS(EQUIPAMENTOS!$A:$A,A307,EQUIPAMENTOS!$F:$F,"&lt;&gt;FLIPERAMA",EQUIPAMENTOS!$F:$F,"&lt;&gt;VERIFICAR")</f>
        <v>1</v>
      </c>
      <c r="E307" s="89" t="s">
        <v>665</v>
      </c>
      <c r="F307" s="89" t="s">
        <v>2223</v>
      </c>
      <c r="G307" s="89">
        <f>VLOOKUP(F307,PACOTES!B:E,4,FALSE)</f>
        <v>3</v>
      </c>
      <c r="H307" s="89"/>
    </row>
    <row r="308" spans="1:8" ht="15.75" hidden="1">
      <c r="A308" s="95">
        <v>308</v>
      </c>
      <c r="B308" s="89" t="s">
        <v>666</v>
      </c>
      <c r="C308" s="90"/>
      <c r="D308" s="89">
        <f>COUNTIFS(EQUIPAMENTOS!$A:$A,A308,EQUIPAMENTOS!$F:$F,"&lt;&gt;FLIPERAMA",EQUIPAMENTOS!$F:$F,"&lt;&gt;VERIFICAR")</f>
        <v>1</v>
      </c>
      <c r="E308" s="89" t="s">
        <v>667</v>
      </c>
      <c r="F308" s="89" t="s">
        <v>2223</v>
      </c>
      <c r="G308" s="89">
        <f>VLOOKUP(F308,PACOTES!B:E,4,FALSE)</f>
        <v>3</v>
      </c>
      <c r="H308" s="89"/>
    </row>
    <row r="309" spans="1:8" ht="15.75" hidden="1">
      <c r="A309" s="95">
        <v>309</v>
      </c>
      <c r="B309" s="89" t="s">
        <v>668</v>
      </c>
      <c r="C309" s="90"/>
      <c r="D309" s="89">
        <f>COUNTIFS(EQUIPAMENTOS!$A:$A,A309,EQUIPAMENTOS!$F:$F,"&lt;&gt;FLIPERAMA",EQUIPAMENTOS!$F:$F,"&lt;&gt;VERIFICAR")</f>
        <v>1</v>
      </c>
      <c r="E309" s="89" t="s">
        <v>669</v>
      </c>
      <c r="F309" s="89" t="s">
        <v>2218</v>
      </c>
      <c r="G309" s="89">
        <f>VLOOKUP(F309,PACOTES!B:E,4,FALSE)</f>
        <v>8</v>
      </c>
      <c r="H309" s="89"/>
    </row>
    <row r="310" spans="1:8" ht="15.75" hidden="1">
      <c r="A310" s="95">
        <v>310</v>
      </c>
      <c r="B310" s="89" t="s">
        <v>670</v>
      </c>
      <c r="C310" s="90"/>
      <c r="D310" s="89">
        <f>COUNTIFS(EQUIPAMENTOS!$A:$A,A310,EQUIPAMENTOS!$F:$F,"&lt;&gt;FLIPERAMA",EQUIPAMENTOS!$F:$F,"&lt;&gt;VERIFICAR")</f>
        <v>1</v>
      </c>
      <c r="E310" s="89" t="s">
        <v>671</v>
      </c>
      <c r="F310" s="89" t="s">
        <v>2221</v>
      </c>
      <c r="G310" s="89">
        <f>VLOOKUP(F310,PACOTES!B:E,4,FALSE)</f>
        <v>5</v>
      </c>
      <c r="H310" s="89"/>
    </row>
    <row r="311" spans="1:8" ht="15.75" hidden="1">
      <c r="A311" s="95">
        <v>311</v>
      </c>
      <c r="B311" s="89" t="s">
        <v>672</v>
      </c>
      <c r="C311" s="90"/>
      <c r="D311" s="89">
        <f>COUNTIFS(EQUIPAMENTOS!$A:$A,A311,EQUIPAMENTOS!$F:$F,"&lt;&gt;FLIPERAMA",EQUIPAMENTOS!$F:$F,"&lt;&gt;VERIFICAR")</f>
        <v>1</v>
      </c>
      <c r="E311" s="89" t="s">
        <v>673</v>
      </c>
      <c r="F311" s="89" t="s">
        <v>2226</v>
      </c>
      <c r="G311" s="89">
        <f>VLOOKUP(F311,PACOTES!B:E,4,FALSE)</f>
        <v>0</v>
      </c>
      <c r="H311" s="89"/>
    </row>
    <row r="312" spans="1:8" ht="15.75" hidden="1">
      <c r="A312" s="95">
        <v>312</v>
      </c>
      <c r="B312" s="89" t="s">
        <v>674</v>
      </c>
      <c r="C312" s="90"/>
      <c r="D312" s="89">
        <f>COUNTIFS(EQUIPAMENTOS!$A:$A,A312,EQUIPAMENTOS!$F:$F,"&lt;&gt;FLIPERAMA",EQUIPAMENTOS!$F:$F,"&lt;&gt;VERIFICAR")</f>
        <v>1</v>
      </c>
      <c r="E312" s="89" t="s">
        <v>675</v>
      </c>
      <c r="F312" s="89" t="s">
        <v>2218</v>
      </c>
      <c r="G312" s="89">
        <f>VLOOKUP(F312,PACOTES!B:E,4,FALSE)</f>
        <v>8</v>
      </c>
      <c r="H312" s="89"/>
    </row>
    <row r="313" spans="1:8" ht="15.75" hidden="1">
      <c r="A313" s="95">
        <v>313</v>
      </c>
      <c r="B313" s="89" t="s">
        <v>676</v>
      </c>
      <c r="C313" s="90"/>
      <c r="D313" s="89">
        <f>COUNTIFS(EQUIPAMENTOS!$A:$A,A313,EQUIPAMENTOS!$F:$F,"&lt;&gt;FLIPERAMA",EQUIPAMENTOS!$F:$F,"&lt;&gt;VERIFICAR")</f>
        <v>1</v>
      </c>
      <c r="E313" s="89" t="s">
        <v>677</v>
      </c>
      <c r="F313" s="89" t="s">
        <v>2221</v>
      </c>
      <c r="G313" s="89">
        <f>VLOOKUP(F313,PACOTES!B:E,4,FALSE)</f>
        <v>5</v>
      </c>
      <c r="H313" s="89"/>
    </row>
    <row r="314" spans="1:8" ht="15.75" hidden="1">
      <c r="A314" s="95">
        <v>314</v>
      </c>
      <c r="B314" s="89" t="s">
        <v>678</v>
      </c>
      <c r="C314" s="90"/>
      <c r="D314" s="89">
        <f>COUNTIFS(EQUIPAMENTOS!$A:$A,A314,EQUIPAMENTOS!$F:$F,"&lt;&gt;FLIPERAMA",EQUIPAMENTOS!$F:$F,"&lt;&gt;VERIFICAR")</f>
        <v>1</v>
      </c>
      <c r="E314" s="89" t="s">
        <v>679</v>
      </c>
      <c r="F314" s="89" t="s">
        <v>2220</v>
      </c>
      <c r="G314" s="89">
        <f>VLOOKUP(F314,PACOTES!B:E,4,FALSE)</f>
        <v>6</v>
      </c>
      <c r="H314" s="89"/>
    </row>
    <row r="315" spans="1:8" ht="15.75" hidden="1">
      <c r="A315" s="95">
        <v>315</v>
      </c>
      <c r="B315" s="89" t="s">
        <v>680</v>
      </c>
      <c r="C315" s="90"/>
      <c r="D315" s="89">
        <f>COUNTIFS(EQUIPAMENTOS!$A:$A,A315,EQUIPAMENTOS!$F:$F,"&lt;&gt;FLIPERAMA",EQUIPAMENTOS!$F:$F,"&lt;&gt;VERIFICAR")</f>
        <v>2</v>
      </c>
      <c r="E315" s="89" t="s">
        <v>681</v>
      </c>
      <c r="F315" s="89" t="s">
        <v>2215</v>
      </c>
      <c r="G315" s="89">
        <f>VLOOKUP(F315,PACOTES!B:E,4,FALSE)</f>
        <v>11</v>
      </c>
      <c r="H315" s="89"/>
    </row>
    <row r="316" spans="1:8" ht="15.75" hidden="1">
      <c r="A316" s="95">
        <v>316</v>
      </c>
      <c r="B316" s="89" t="s">
        <v>682</v>
      </c>
      <c r="C316" s="90"/>
      <c r="D316" s="89">
        <f>COUNTIFS(EQUIPAMENTOS!$A:$A,A316,EQUIPAMENTOS!$F:$F,"&lt;&gt;FLIPERAMA",EQUIPAMENTOS!$F:$F,"&lt;&gt;VERIFICAR")</f>
        <v>1</v>
      </c>
      <c r="E316" s="89" t="s">
        <v>683</v>
      </c>
      <c r="F316" s="89" t="s">
        <v>2222</v>
      </c>
      <c r="G316" s="89">
        <f>VLOOKUP(F316,PACOTES!B:E,4,FALSE)</f>
        <v>4</v>
      </c>
      <c r="H316" s="89"/>
    </row>
    <row r="317" spans="1:8" ht="15.75" hidden="1">
      <c r="A317" s="95">
        <v>317</v>
      </c>
      <c r="B317" s="89" t="s">
        <v>684</v>
      </c>
      <c r="C317" s="90"/>
      <c r="D317" s="89">
        <f>COUNTIFS(EQUIPAMENTOS!$A:$A,A317,EQUIPAMENTOS!$F:$F,"&lt;&gt;FLIPERAMA",EQUIPAMENTOS!$F:$F,"&lt;&gt;VERIFICAR")</f>
        <v>3</v>
      </c>
      <c r="E317" s="89" t="s">
        <v>685</v>
      </c>
      <c r="F317" s="89" t="s">
        <v>2222</v>
      </c>
      <c r="G317" s="89">
        <f>VLOOKUP(F317,PACOTES!B:E,4,FALSE)</f>
        <v>4</v>
      </c>
      <c r="H317" s="89"/>
    </row>
    <row r="318" spans="1:8" ht="15.75" hidden="1">
      <c r="A318" s="95">
        <v>318</v>
      </c>
      <c r="B318" s="89" t="s">
        <v>686</v>
      </c>
      <c r="C318" s="90"/>
      <c r="D318" s="89">
        <f>COUNTIFS(EQUIPAMENTOS!$A:$A,A318,EQUIPAMENTOS!$F:$F,"&lt;&gt;FLIPERAMA",EQUIPAMENTOS!$F:$F,"&lt;&gt;VERIFICAR")</f>
        <v>1</v>
      </c>
      <c r="E318" s="89" t="s">
        <v>687</v>
      </c>
      <c r="F318" s="89" t="s">
        <v>2223</v>
      </c>
      <c r="G318" s="89">
        <f>VLOOKUP(F318,PACOTES!B:E,4,FALSE)</f>
        <v>3</v>
      </c>
      <c r="H318" s="89"/>
    </row>
    <row r="319" spans="1:8" ht="15.75" hidden="1">
      <c r="A319" s="95">
        <v>319</v>
      </c>
      <c r="B319" s="89" t="s">
        <v>688</v>
      </c>
      <c r="C319" s="90"/>
      <c r="D319" s="89">
        <f>COUNTIFS(EQUIPAMENTOS!$A:$A,A319,EQUIPAMENTOS!$F:$F,"&lt;&gt;FLIPERAMA",EQUIPAMENTOS!$F:$F,"&lt;&gt;VERIFICAR")</f>
        <v>1</v>
      </c>
      <c r="E319" s="89" t="s">
        <v>689</v>
      </c>
      <c r="F319" s="89" t="s">
        <v>2219</v>
      </c>
      <c r="G319" s="89">
        <f>VLOOKUP(F319,PACOTES!B:E,4,FALSE)</f>
        <v>7</v>
      </c>
      <c r="H319" s="89"/>
    </row>
    <row r="320" spans="1:8" ht="15.75" hidden="1">
      <c r="A320" s="95">
        <v>320</v>
      </c>
      <c r="B320" s="89" t="s">
        <v>690</v>
      </c>
      <c r="C320" s="90"/>
      <c r="D320" s="89">
        <f>COUNTIFS(EQUIPAMENTOS!$A:$A,A320,EQUIPAMENTOS!$F:$F,"&lt;&gt;FLIPERAMA",EQUIPAMENTOS!$F:$F,"&lt;&gt;VERIFICAR")</f>
        <v>1</v>
      </c>
      <c r="E320" s="89" t="s">
        <v>691</v>
      </c>
      <c r="F320" s="89" t="s">
        <v>2222</v>
      </c>
      <c r="G320" s="89">
        <f>VLOOKUP(F320,PACOTES!B:E,4,FALSE)</f>
        <v>4</v>
      </c>
      <c r="H320" s="89"/>
    </row>
    <row r="321" spans="1:8" ht="15.75" hidden="1">
      <c r="A321" s="95">
        <v>321</v>
      </c>
      <c r="B321" s="89" t="s">
        <v>692</v>
      </c>
      <c r="C321" s="90"/>
      <c r="D321" s="89">
        <f>COUNTIFS(EQUIPAMENTOS!$A:$A,A321,EQUIPAMENTOS!$F:$F,"&lt;&gt;FLIPERAMA",EQUIPAMENTOS!$F:$F,"&lt;&gt;VERIFICAR")</f>
        <v>1</v>
      </c>
      <c r="E321" s="89" t="s">
        <v>693</v>
      </c>
      <c r="F321" s="89" t="s">
        <v>2220</v>
      </c>
      <c r="G321" s="89">
        <f>VLOOKUP(F321,PACOTES!B:E,4,FALSE)</f>
        <v>6</v>
      </c>
      <c r="H321" s="89"/>
    </row>
    <row r="322" spans="1:8" ht="15.75" hidden="1">
      <c r="A322" s="95">
        <v>322</v>
      </c>
      <c r="B322" s="89" t="s">
        <v>694</v>
      </c>
      <c r="C322" s="90"/>
      <c r="D322" s="89">
        <f>COUNTIFS(EQUIPAMENTOS!$A:$A,A322,EQUIPAMENTOS!$F:$F,"&lt;&gt;FLIPERAMA",EQUIPAMENTOS!$F:$F,"&lt;&gt;VERIFICAR")</f>
        <v>1</v>
      </c>
      <c r="E322" s="89" t="s">
        <v>695</v>
      </c>
      <c r="F322" s="89" t="s">
        <v>2221</v>
      </c>
      <c r="G322" s="89">
        <f>VLOOKUP(F322,PACOTES!B:E,4,FALSE)</f>
        <v>5</v>
      </c>
      <c r="H322" s="89"/>
    </row>
    <row r="323" spans="1:8" ht="15.75" hidden="1">
      <c r="A323" s="95">
        <v>323</v>
      </c>
      <c r="B323" s="89" t="s">
        <v>696</v>
      </c>
      <c r="C323" s="90"/>
      <c r="D323" s="89">
        <f>COUNTIFS(EQUIPAMENTOS!$A:$A,A323,EQUIPAMENTOS!$F:$F,"&lt;&gt;FLIPERAMA",EQUIPAMENTOS!$F:$F,"&lt;&gt;VERIFICAR")</f>
        <v>1</v>
      </c>
      <c r="E323" s="89" t="s">
        <v>697</v>
      </c>
      <c r="F323" s="89" t="s">
        <v>2218</v>
      </c>
      <c r="G323" s="89">
        <f>VLOOKUP(F323,PACOTES!B:E,4,FALSE)</f>
        <v>8</v>
      </c>
      <c r="H323" s="89"/>
    </row>
    <row r="324" spans="1:8" ht="15.75" hidden="1">
      <c r="A324" s="95">
        <v>324</v>
      </c>
      <c r="B324" s="89" t="s">
        <v>698</v>
      </c>
      <c r="C324" s="90"/>
      <c r="D324" s="89">
        <f>COUNTIFS(EQUIPAMENTOS!$A:$A,A324,EQUIPAMENTOS!$F:$F,"&lt;&gt;FLIPERAMA",EQUIPAMENTOS!$F:$F,"&lt;&gt;VERIFICAR")</f>
        <v>1</v>
      </c>
      <c r="E324" s="89" t="s">
        <v>699</v>
      </c>
      <c r="F324" s="89" t="s">
        <v>2222</v>
      </c>
      <c r="G324" s="89">
        <f>VLOOKUP(F324,PACOTES!B:E,4,FALSE)</f>
        <v>4</v>
      </c>
      <c r="H324" s="89"/>
    </row>
    <row r="325" spans="1:8" ht="15.75" hidden="1">
      <c r="A325" s="95">
        <v>325</v>
      </c>
      <c r="B325" s="89" t="s">
        <v>700</v>
      </c>
      <c r="C325" s="90"/>
      <c r="D325" s="89">
        <f>COUNTIFS(EQUIPAMENTOS!$A:$A,A325,EQUIPAMENTOS!$F:$F,"&lt;&gt;FLIPERAMA",EQUIPAMENTOS!$F:$F,"&lt;&gt;VERIFICAR")</f>
        <v>1</v>
      </c>
      <c r="E325" s="89" t="s">
        <v>701</v>
      </c>
      <c r="F325" s="89" t="s">
        <v>2222</v>
      </c>
      <c r="G325" s="89">
        <f>VLOOKUP(F325,PACOTES!B:E,4,FALSE)</f>
        <v>4</v>
      </c>
      <c r="H325" s="89"/>
    </row>
    <row r="326" spans="1:8" ht="15.75" hidden="1">
      <c r="A326" s="95">
        <v>326</v>
      </c>
      <c r="B326" s="89" t="s">
        <v>702</v>
      </c>
      <c r="C326" s="90"/>
      <c r="D326" s="89">
        <f>COUNTIFS(EQUIPAMENTOS!$A:$A,A326,EQUIPAMENTOS!$F:$F,"&lt;&gt;FLIPERAMA",EQUIPAMENTOS!$F:$F,"&lt;&gt;VERIFICAR")</f>
        <v>1</v>
      </c>
      <c r="E326" s="89" t="s">
        <v>703</v>
      </c>
      <c r="F326" s="89" t="s">
        <v>2217</v>
      </c>
      <c r="G326" s="89">
        <f>VLOOKUP(F326,PACOTES!B:E,4,FALSE)</f>
        <v>9</v>
      </c>
      <c r="H326" s="89"/>
    </row>
    <row r="327" spans="1:8" ht="15.75" hidden="1">
      <c r="A327" s="95">
        <v>327</v>
      </c>
      <c r="B327" s="89" t="s">
        <v>704</v>
      </c>
      <c r="C327" s="90"/>
      <c r="D327" s="89">
        <f>COUNTIFS(EQUIPAMENTOS!$A:$A,A327,EQUIPAMENTOS!$F:$F,"&lt;&gt;FLIPERAMA",EQUIPAMENTOS!$F:$F,"&lt;&gt;VERIFICAR")</f>
        <v>1</v>
      </c>
      <c r="E327" s="89" t="s">
        <v>705</v>
      </c>
      <c r="F327" s="89" t="s">
        <v>2225</v>
      </c>
      <c r="G327" s="89">
        <f>VLOOKUP(F327,PACOTES!B:E,4,FALSE)</f>
        <v>1</v>
      </c>
      <c r="H327" s="89"/>
    </row>
    <row r="328" spans="1:8" ht="15.75" hidden="1">
      <c r="A328" s="95">
        <v>328</v>
      </c>
      <c r="B328" s="89" t="s">
        <v>706</v>
      </c>
      <c r="C328" s="90"/>
      <c r="D328" s="89">
        <f>COUNTIFS(EQUIPAMENTOS!$A:$A,A328,EQUIPAMENTOS!$F:$F,"&lt;&gt;FLIPERAMA",EQUIPAMENTOS!$F:$F,"&lt;&gt;VERIFICAR")</f>
        <v>2</v>
      </c>
      <c r="E328" s="89" t="s">
        <v>707</v>
      </c>
      <c r="F328" s="89" t="s">
        <v>2222</v>
      </c>
      <c r="G328" s="89">
        <f>VLOOKUP(F328,PACOTES!B:E,4,FALSE)</f>
        <v>4</v>
      </c>
      <c r="H328" s="89"/>
    </row>
    <row r="329" spans="1:8" ht="15.75" hidden="1">
      <c r="A329" s="95">
        <v>329</v>
      </c>
      <c r="B329" s="89" t="s">
        <v>708</v>
      </c>
      <c r="C329" s="90"/>
      <c r="D329" s="89">
        <f>COUNTIFS(EQUIPAMENTOS!$A:$A,A329,EQUIPAMENTOS!$F:$F,"&lt;&gt;FLIPERAMA",EQUIPAMENTOS!$F:$F,"&lt;&gt;VERIFICAR")</f>
        <v>1</v>
      </c>
      <c r="E329" s="89" t="s">
        <v>709</v>
      </c>
      <c r="F329" s="89" t="s">
        <v>2218</v>
      </c>
      <c r="G329" s="89">
        <f>VLOOKUP(F329,PACOTES!B:E,4,FALSE)</f>
        <v>8</v>
      </c>
      <c r="H329" s="89"/>
    </row>
    <row r="330" spans="1:8" ht="15.75" hidden="1">
      <c r="A330" s="95">
        <v>330</v>
      </c>
      <c r="B330" s="89" t="s">
        <v>710</v>
      </c>
      <c r="C330" s="90"/>
      <c r="D330" s="89">
        <f>COUNTIFS(EQUIPAMENTOS!$A:$A,A330,EQUIPAMENTOS!$F:$F,"&lt;&gt;FLIPERAMA",EQUIPAMENTOS!$F:$F,"&lt;&gt;VERIFICAR")</f>
        <v>1</v>
      </c>
      <c r="E330" s="89" t="s">
        <v>711</v>
      </c>
      <c r="F330" s="89" t="s">
        <v>2220</v>
      </c>
      <c r="G330" s="89">
        <f>VLOOKUP(F330,PACOTES!B:E,4,FALSE)</f>
        <v>6</v>
      </c>
      <c r="H330" s="89"/>
    </row>
    <row r="331" spans="1:8" ht="15.75" hidden="1">
      <c r="A331" s="95">
        <v>331</v>
      </c>
      <c r="B331" s="89" t="s">
        <v>712</v>
      </c>
      <c r="C331" s="90"/>
      <c r="D331" s="89">
        <f>COUNTIFS(EQUIPAMENTOS!$A:$A,A331,EQUIPAMENTOS!$F:$F,"&lt;&gt;FLIPERAMA",EQUIPAMENTOS!$F:$F,"&lt;&gt;VERIFICAR")</f>
        <v>2</v>
      </c>
      <c r="E331" s="89" t="s">
        <v>713</v>
      </c>
      <c r="F331" s="89" t="s">
        <v>2217</v>
      </c>
      <c r="G331" s="89">
        <f>VLOOKUP(F331,PACOTES!B:E,4,FALSE)</f>
        <v>9</v>
      </c>
      <c r="H331" s="89"/>
    </row>
    <row r="332" spans="1:8" ht="15.75" hidden="1">
      <c r="A332" s="95">
        <v>332</v>
      </c>
      <c r="B332" s="89" t="s">
        <v>714</v>
      </c>
      <c r="C332" s="90"/>
      <c r="D332" s="89">
        <f>COUNTIFS(EQUIPAMENTOS!$A:$A,A332,EQUIPAMENTOS!$F:$F,"&lt;&gt;FLIPERAMA",EQUIPAMENTOS!$F:$F,"&lt;&gt;VERIFICAR")</f>
        <v>3</v>
      </c>
      <c r="E332" s="89" t="s">
        <v>715</v>
      </c>
      <c r="F332" s="89" t="s">
        <v>2222</v>
      </c>
      <c r="G332" s="89">
        <f>VLOOKUP(F332,PACOTES!B:E,4,FALSE)</f>
        <v>4</v>
      </c>
      <c r="H332" s="89"/>
    </row>
    <row r="333" spans="1:8" ht="15.75" hidden="1">
      <c r="A333" s="95">
        <v>333</v>
      </c>
      <c r="B333" s="89" t="s">
        <v>716</v>
      </c>
      <c r="C333" s="90"/>
      <c r="D333" s="89">
        <f>COUNTIFS(EQUIPAMENTOS!$A:$A,A333,EQUIPAMENTOS!$F:$F,"&lt;&gt;FLIPERAMA",EQUIPAMENTOS!$F:$F,"&lt;&gt;VERIFICAR")</f>
        <v>2</v>
      </c>
      <c r="E333" s="89" t="s">
        <v>717</v>
      </c>
      <c r="F333" s="89" t="s">
        <v>2218</v>
      </c>
      <c r="G333" s="89">
        <f>VLOOKUP(F333,PACOTES!B:E,4,FALSE)</f>
        <v>8</v>
      </c>
      <c r="H333" s="89"/>
    </row>
    <row r="334" spans="1:8" ht="15.75" hidden="1">
      <c r="A334" s="95">
        <v>334</v>
      </c>
      <c r="B334" s="89" t="s">
        <v>718</v>
      </c>
      <c r="C334" s="90"/>
      <c r="D334" s="89">
        <f>COUNTIFS(EQUIPAMENTOS!$A:$A,A334,EQUIPAMENTOS!$F:$F,"&lt;&gt;FLIPERAMA",EQUIPAMENTOS!$F:$F,"&lt;&gt;VERIFICAR")</f>
        <v>1</v>
      </c>
      <c r="E334" s="89" t="s">
        <v>719</v>
      </c>
      <c r="F334" s="89" t="s">
        <v>2218</v>
      </c>
      <c r="G334" s="89">
        <f>VLOOKUP(F334,PACOTES!B:E,4,FALSE)</f>
        <v>8</v>
      </c>
      <c r="H334" s="89"/>
    </row>
    <row r="335" spans="1:8" ht="15.75" hidden="1">
      <c r="A335" s="95">
        <v>335</v>
      </c>
      <c r="B335" s="89" t="s">
        <v>720</v>
      </c>
      <c r="C335" s="90"/>
      <c r="D335" s="89">
        <f>COUNTIFS(EQUIPAMENTOS!$A:$A,A335,EQUIPAMENTOS!$F:$F,"&lt;&gt;FLIPERAMA",EQUIPAMENTOS!$F:$F,"&lt;&gt;VERIFICAR")</f>
        <v>2</v>
      </c>
      <c r="E335" s="89" t="s">
        <v>721</v>
      </c>
      <c r="F335" s="89" t="s">
        <v>2220</v>
      </c>
      <c r="G335" s="89">
        <f>VLOOKUP(F335,PACOTES!B:E,4,FALSE)</f>
        <v>6</v>
      </c>
      <c r="H335" s="89"/>
    </row>
    <row r="336" spans="1:8" ht="15.75" hidden="1">
      <c r="A336" s="95">
        <v>336</v>
      </c>
      <c r="B336" s="89" t="s">
        <v>722</v>
      </c>
      <c r="C336" s="90"/>
      <c r="D336" s="89">
        <f>COUNTIFS(EQUIPAMENTOS!$A:$A,A336,EQUIPAMENTOS!$F:$F,"&lt;&gt;FLIPERAMA",EQUIPAMENTOS!$F:$F,"&lt;&gt;VERIFICAR")</f>
        <v>1</v>
      </c>
      <c r="E336" s="89" t="s">
        <v>723</v>
      </c>
      <c r="F336" s="89" t="s">
        <v>2218</v>
      </c>
      <c r="G336" s="89">
        <f>VLOOKUP(F336,PACOTES!B:E,4,FALSE)</f>
        <v>8</v>
      </c>
      <c r="H336" s="89"/>
    </row>
    <row r="337" spans="1:8" ht="15.75" hidden="1">
      <c r="A337" s="95">
        <v>337</v>
      </c>
      <c r="B337" s="89" t="s">
        <v>724</v>
      </c>
      <c r="C337" s="90"/>
      <c r="D337" s="89">
        <f>COUNTIFS(EQUIPAMENTOS!$A:$A,A337,EQUIPAMENTOS!$F:$F,"&lt;&gt;FLIPERAMA",EQUIPAMENTOS!$F:$F,"&lt;&gt;VERIFICAR")</f>
        <v>2</v>
      </c>
      <c r="E337" s="89" t="s">
        <v>725</v>
      </c>
      <c r="F337" s="89" t="s">
        <v>2220</v>
      </c>
      <c r="G337" s="89">
        <f>VLOOKUP(F337,PACOTES!B:E,4,FALSE)</f>
        <v>6</v>
      </c>
      <c r="H337" s="89"/>
    </row>
    <row r="338" spans="1:8" ht="15.75" hidden="1">
      <c r="A338" s="95">
        <v>338</v>
      </c>
      <c r="B338" s="89" t="s">
        <v>726</v>
      </c>
      <c r="C338" s="90"/>
      <c r="D338" s="89">
        <f>COUNTIFS(EQUIPAMENTOS!$A:$A,A338,EQUIPAMENTOS!$F:$F,"&lt;&gt;FLIPERAMA",EQUIPAMENTOS!$F:$F,"&lt;&gt;VERIFICAR")</f>
        <v>1</v>
      </c>
      <c r="E338" s="89" t="s">
        <v>727</v>
      </c>
      <c r="F338" s="89" t="s">
        <v>2224</v>
      </c>
      <c r="G338" s="89">
        <f>VLOOKUP(F338,PACOTES!B:E,4,FALSE)</f>
        <v>2</v>
      </c>
      <c r="H338" s="89"/>
    </row>
    <row r="339" spans="1:8" ht="15.75" hidden="1">
      <c r="A339" s="95">
        <v>339</v>
      </c>
      <c r="B339" s="89" t="s">
        <v>728</v>
      </c>
      <c r="C339" s="90"/>
      <c r="D339" s="89">
        <f>COUNTIFS(EQUIPAMENTOS!$A:$A,A339,EQUIPAMENTOS!$F:$F,"&lt;&gt;FLIPERAMA",EQUIPAMENTOS!$F:$F,"&lt;&gt;VERIFICAR")</f>
        <v>1</v>
      </c>
      <c r="E339" s="89" t="s">
        <v>729</v>
      </c>
      <c r="F339" s="89" t="s">
        <v>2217</v>
      </c>
      <c r="G339" s="89">
        <f>VLOOKUP(F339,PACOTES!B:E,4,FALSE)</f>
        <v>9</v>
      </c>
      <c r="H339" s="89"/>
    </row>
    <row r="340" spans="1:8" ht="15.75" hidden="1">
      <c r="A340" s="95">
        <v>340</v>
      </c>
      <c r="B340" s="89" t="s">
        <v>730</v>
      </c>
      <c r="C340" s="90"/>
      <c r="D340" s="89">
        <f>COUNTIFS(EQUIPAMENTOS!$A:$A,A340,EQUIPAMENTOS!$F:$F,"&lt;&gt;FLIPERAMA",EQUIPAMENTOS!$F:$F,"&lt;&gt;VERIFICAR")</f>
        <v>2</v>
      </c>
      <c r="E340" s="89" t="s">
        <v>731</v>
      </c>
      <c r="F340" s="89" t="s">
        <v>2220</v>
      </c>
      <c r="G340" s="89">
        <f>VLOOKUP(F340,PACOTES!B:E,4,FALSE)</f>
        <v>6</v>
      </c>
      <c r="H340" s="89"/>
    </row>
    <row r="341" spans="1:8" ht="15.75" hidden="1">
      <c r="A341" s="95">
        <v>341</v>
      </c>
      <c r="B341" s="89" t="s">
        <v>732</v>
      </c>
      <c r="C341" s="90"/>
      <c r="D341" s="89">
        <f>COUNTIFS(EQUIPAMENTOS!$A:$A,A341,EQUIPAMENTOS!$F:$F,"&lt;&gt;FLIPERAMA",EQUIPAMENTOS!$F:$F,"&lt;&gt;VERIFICAR")</f>
        <v>1</v>
      </c>
      <c r="E341" s="89" t="s">
        <v>733</v>
      </c>
      <c r="F341" s="89" t="s">
        <v>2221</v>
      </c>
      <c r="G341" s="89">
        <f>VLOOKUP(F341,PACOTES!B:E,4,FALSE)</f>
        <v>5</v>
      </c>
      <c r="H341" s="89"/>
    </row>
    <row r="342" spans="1:8" ht="15.75" hidden="1">
      <c r="A342" s="95">
        <v>342</v>
      </c>
      <c r="B342" s="89" t="s">
        <v>734</v>
      </c>
      <c r="C342" s="90" t="s">
        <v>735</v>
      </c>
      <c r="D342" s="89">
        <f>COUNTIFS(EQUIPAMENTOS!$A:$A,A342,EQUIPAMENTOS!$F:$F,"&lt;&gt;FLIPERAMA",EQUIPAMENTOS!$F:$F,"&lt;&gt;VERIFICAR")</f>
        <v>5</v>
      </c>
      <c r="E342" s="89" t="s">
        <v>736</v>
      </c>
      <c r="F342" s="89" t="s">
        <v>2226</v>
      </c>
      <c r="G342" s="89">
        <f>VLOOKUP(F342,PACOTES!B:E,4,FALSE)</f>
        <v>0</v>
      </c>
      <c r="H342" s="89" t="s">
        <v>134</v>
      </c>
    </row>
    <row r="343" spans="1:8" ht="15.75" hidden="1">
      <c r="A343" s="95">
        <v>343</v>
      </c>
      <c r="B343" s="89" t="s">
        <v>737</v>
      </c>
      <c r="C343" s="90"/>
      <c r="D343" s="89">
        <f>COUNTIFS(EQUIPAMENTOS!$A:$A,A343,EQUIPAMENTOS!$F:$F,"&lt;&gt;FLIPERAMA",EQUIPAMENTOS!$F:$F,"&lt;&gt;VERIFICAR")</f>
        <v>1</v>
      </c>
      <c r="E343" s="89" t="s">
        <v>738</v>
      </c>
      <c r="F343" s="89" t="s">
        <v>2222</v>
      </c>
      <c r="G343" s="89">
        <f>VLOOKUP(F343,PACOTES!B:E,4,FALSE)</f>
        <v>4</v>
      </c>
      <c r="H343" s="89"/>
    </row>
    <row r="344" spans="1:8" ht="15.75" hidden="1">
      <c r="A344" s="95">
        <v>344</v>
      </c>
      <c r="B344" s="89" t="s">
        <v>739</v>
      </c>
      <c r="C344" s="90"/>
      <c r="D344" s="89">
        <f>COUNTIFS(EQUIPAMENTOS!$A:$A,A344,EQUIPAMENTOS!$F:$F,"&lt;&gt;FLIPERAMA",EQUIPAMENTOS!$F:$F,"&lt;&gt;VERIFICAR")</f>
        <v>1</v>
      </c>
      <c r="E344" s="89" t="s">
        <v>740</v>
      </c>
      <c r="F344" s="89" t="s">
        <v>2225</v>
      </c>
      <c r="G344" s="89">
        <f>VLOOKUP(F344,PACOTES!B:E,4,FALSE)</f>
        <v>1</v>
      </c>
      <c r="H344" s="89"/>
    </row>
    <row r="345" spans="1:8" ht="15.75" hidden="1">
      <c r="A345" s="95">
        <v>345</v>
      </c>
      <c r="B345" s="89" t="s">
        <v>741</v>
      </c>
      <c r="C345" s="90"/>
      <c r="D345" s="89">
        <f>COUNTIFS(EQUIPAMENTOS!$A:$A,A345,EQUIPAMENTOS!$F:$F,"&lt;&gt;FLIPERAMA",EQUIPAMENTOS!$F:$F,"&lt;&gt;VERIFICAR")</f>
        <v>1</v>
      </c>
      <c r="E345" s="89" t="s">
        <v>742</v>
      </c>
      <c r="F345" s="89" t="s">
        <v>2218</v>
      </c>
      <c r="G345" s="89">
        <f>VLOOKUP(F345,PACOTES!B:E,4,FALSE)</f>
        <v>8</v>
      </c>
      <c r="H345" s="89"/>
    </row>
    <row r="346" spans="1:8" ht="15.75" hidden="1">
      <c r="A346" s="95">
        <v>346</v>
      </c>
      <c r="B346" s="89" t="s">
        <v>743</v>
      </c>
      <c r="C346" s="90"/>
      <c r="D346" s="89">
        <f>COUNTIFS(EQUIPAMENTOS!$A:$A,A346,EQUIPAMENTOS!$F:$F,"&lt;&gt;FLIPERAMA",EQUIPAMENTOS!$F:$F,"&lt;&gt;VERIFICAR")</f>
        <v>1</v>
      </c>
      <c r="E346" s="89" t="s">
        <v>744</v>
      </c>
      <c r="F346" s="89" t="s">
        <v>2219</v>
      </c>
      <c r="G346" s="89">
        <f>VLOOKUP(F346,PACOTES!B:E,4,FALSE)</f>
        <v>7</v>
      </c>
      <c r="H346" s="89"/>
    </row>
    <row r="347" spans="1:8" ht="15.75" hidden="1">
      <c r="A347" s="95">
        <v>347</v>
      </c>
      <c r="B347" s="89" t="s">
        <v>745</v>
      </c>
      <c r="C347" s="90"/>
      <c r="D347" s="89">
        <f>COUNTIFS(EQUIPAMENTOS!$A:$A,A347,EQUIPAMENTOS!$F:$F,"&lt;&gt;FLIPERAMA",EQUIPAMENTOS!$F:$F,"&lt;&gt;VERIFICAR")</f>
        <v>1</v>
      </c>
      <c r="E347" s="89" t="s">
        <v>746</v>
      </c>
      <c r="F347" s="89" t="s">
        <v>2218</v>
      </c>
      <c r="G347" s="89">
        <f>VLOOKUP(F347,PACOTES!B:E,4,FALSE)</f>
        <v>8</v>
      </c>
      <c r="H347" s="89"/>
    </row>
    <row r="348" spans="1:8" ht="15.75" hidden="1">
      <c r="A348" s="95">
        <v>348</v>
      </c>
      <c r="B348" s="89" t="s">
        <v>747</v>
      </c>
      <c r="C348" s="90"/>
      <c r="D348" s="89">
        <f>COUNTIFS(EQUIPAMENTOS!$A:$A,A348,EQUIPAMENTOS!$F:$F,"&lt;&gt;FLIPERAMA",EQUIPAMENTOS!$F:$F,"&lt;&gt;VERIFICAR")</f>
        <v>1</v>
      </c>
      <c r="E348" s="89" t="s">
        <v>748</v>
      </c>
      <c r="F348" s="89" t="s">
        <v>2221</v>
      </c>
      <c r="G348" s="89">
        <f>VLOOKUP(F348,PACOTES!B:E,4,FALSE)</f>
        <v>5</v>
      </c>
      <c r="H348" s="89"/>
    </row>
    <row r="349" spans="1:8" ht="15.75" hidden="1">
      <c r="A349" s="95">
        <v>349</v>
      </c>
      <c r="B349" s="89" t="s">
        <v>749</v>
      </c>
      <c r="C349" s="90"/>
      <c r="D349" s="89">
        <f>COUNTIFS(EQUIPAMENTOS!$A:$A,A349,EQUIPAMENTOS!$F:$F,"&lt;&gt;FLIPERAMA",EQUIPAMENTOS!$F:$F,"&lt;&gt;VERIFICAR")</f>
        <v>1</v>
      </c>
      <c r="E349" s="89" t="s">
        <v>750</v>
      </c>
      <c r="F349" s="89" t="s">
        <v>2218</v>
      </c>
      <c r="G349" s="89">
        <f>VLOOKUP(F349,PACOTES!B:E,4,FALSE)</f>
        <v>8</v>
      </c>
      <c r="H349" s="89"/>
    </row>
    <row r="350" spans="1:8" ht="15.75" hidden="1">
      <c r="A350" s="95">
        <v>350</v>
      </c>
      <c r="B350" s="89" t="s">
        <v>751</v>
      </c>
      <c r="C350" s="90"/>
      <c r="D350" s="89">
        <f>COUNTIFS(EQUIPAMENTOS!$A:$A,A350,EQUIPAMENTOS!$F:$F,"&lt;&gt;FLIPERAMA",EQUIPAMENTOS!$F:$F,"&lt;&gt;VERIFICAR")</f>
        <v>2</v>
      </c>
      <c r="E350" s="89" t="s">
        <v>752</v>
      </c>
      <c r="F350" s="89" t="s">
        <v>2217</v>
      </c>
      <c r="G350" s="89">
        <f>VLOOKUP(F350,PACOTES!B:E,4,FALSE)</f>
        <v>9</v>
      </c>
      <c r="H350" s="89"/>
    </row>
    <row r="351" spans="1:8" ht="15.75" hidden="1">
      <c r="A351" s="95">
        <v>351</v>
      </c>
      <c r="B351" s="89" t="s">
        <v>753</v>
      </c>
      <c r="C351" s="90"/>
      <c r="D351" s="89">
        <f>COUNTIFS(EQUIPAMENTOS!$A:$A,A351,EQUIPAMENTOS!$F:$F,"&lt;&gt;FLIPERAMA",EQUIPAMENTOS!$F:$F,"&lt;&gt;VERIFICAR")</f>
        <v>1</v>
      </c>
      <c r="E351" s="89" t="s">
        <v>754</v>
      </c>
      <c r="F351" s="89" t="s">
        <v>2218</v>
      </c>
      <c r="G351" s="89">
        <f>VLOOKUP(F351,PACOTES!B:E,4,FALSE)</f>
        <v>8</v>
      </c>
      <c r="H351" s="89"/>
    </row>
    <row r="352" spans="1:8" ht="15.75" hidden="1">
      <c r="A352" s="95">
        <v>352</v>
      </c>
      <c r="B352" s="89" t="s">
        <v>755</v>
      </c>
      <c r="C352" s="90"/>
      <c r="D352" s="89">
        <f>COUNTIFS(EQUIPAMENTOS!$A:$A,A352,EQUIPAMENTOS!$F:$F,"&lt;&gt;FLIPERAMA",EQUIPAMENTOS!$F:$F,"&lt;&gt;VERIFICAR")</f>
        <v>1</v>
      </c>
      <c r="E352" s="89" t="s">
        <v>756</v>
      </c>
      <c r="F352" s="89" t="s">
        <v>2224</v>
      </c>
      <c r="G352" s="89">
        <f>VLOOKUP(F352,PACOTES!B:E,4,FALSE)</f>
        <v>2</v>
      </c>
      <c r="H352" s="89"/>
    </row>
    <row r="353" spans="1:8" ht="15.75" hidden="1">
      <c r="A353" s="95">
        <v>353</v>
      </c>
      <c r="B353" s="89" t="s">
        <v>757</v>
      </c>
      <c r="C353" s="90"/>
      <c r="D353" s="89">
        <f>COUNTIFS(EQUIPAMENTOS!$A:$A,A353,EQUIPAMENTOS!$F:$F,"&lt;&gt;FLIPERAMA",EQUIPAMENTOS!$F:$F,"&lt;&gt;VERIFICAR")</f>
        <v>2</v>
      </c>
      <c r="E353" s="89" t="s">
        <v>758</v>
      </c>
      <c r="F353" s="89" t="s">
        <v>2217</v>
      </c>
      <c r="G353" s="89">
        <f>VLOOKUP(F353,PACOTES!B:E,4,FALSE)</f>
        <v>9</v>
      </c>
      <c r="H353" s="89"/>
    </row>
    <row r="354" spans="1:8" ht="15.75" hidden="1">
      <c r="A354" s="95">
        <v>354</v>
      </c>
      <c r="B354" s="89" t="s">
        <v>759</v>
      </c>
      <c r="C354" s="90"/>
      <c r="D354" s="89">
        <f>COUNTIFS(EQUIPAMENTOS!$A:$A,A354,EQUIPAMENTOS!$F:$F,"&lt;&gt;FLIPERAMA",EQUIPAMENTOS!$F:$F,"&lt;&gt;VERIFICAR")</f>
        <v>1</v>
      </c>
      <c r="E354" s="89" t="s">
        <v>760</v>
      </c>
      <c r="F354" s="89" t="s">
        <v>2222</v>
      </c>
      <c r="G354" s="89">
        <f>VLOOKUP(F354,PACOTES!B:E,4,FALSE)</f>
        <v>4</v>
      </c>
      <c r="H354" s="89"/>
    </row>
    <row r="355" spans="1:8" ht="15.75" hidden="1">
      <c r="A355" s="95">
        <v>355</v>
      </c>
      <c r="B355" s="89" t="s">
        <v>761</v>
      </c>
      <c r="C355" s="90"/>
      <c r="D355" s="89">
        <f>COUNTIFS(EQUIPAMENTOS!$A:$A,A355,EQUIPAMENTOS!$F:$F,"&lt;&gt;FLIPERAMA",EQUIPAMENTOS!$F:$F,"&lt;&gt;VERIFICAR")</f>
        <v>2</v>
      </c>
      <c r="E355" s="89" t="s">
        <v>762</v>
      </c>
      <c r="F355" s="89" t="s">
        <v>2217</v>
      </c>
      <c r="G355" s="89">
        <f>VLOOKUP(F355,PACOTES!B:E,4,FALSE)</f>
        <v>9</v>
      </c>
      <c r="H355" s="89"/>
    </row>
    <row r="356" spans="1:8" ht="15.75" hidden="1">
      <c r="A356" s="95">
        <v>356</v>
      </c>
      <c r="B356" s="89" t="s">
        <v>763</v>
      </c>
      <c r="C356" s="90"/>
      <c r="D356" s="89">
        <f>COUNTIFS(EQUIPAMENTOS!$A:$A,A356,EQUIPAMENTOS!$F:$F,"&lt;&gt;FLIPERAMA",EQUIPAMENTOS!$F:$F,"&lt;&gt;VERIFICAR")</f>
        <v>1</v>
      </c>
      <c r="E356" s="89" t="s">
        <v>764</v>
      </c>
      <c r="F356" s="89" t="s">
        <v>2221</v>
      </c>
      <c r="G356" s="89">
        <f>VLOOKUP(F356,PACOTES!B:E,4,FALSE)</f>
        <v>5</v>
      </c>
      <c r="H356" s="89"/>
    </row>
    <row r="357" spans="1:8" ht="15.75" hidden="1">
      <c r="A357" s="95">
        <v>357</v>
      </c>
      <c r="B357" s="89" t="s">
        <v>765</v>
      </c>
      <c r="C357" s="90"/>
      <c r="D357" s="89">
        <f>COUNTIFS(EQUIPAMENTOS!$A:$A,A357,EQUIPAMENTOS!$F:$F,"&lt;&gt;FLIPERAMA",EQUIPAMENTOS!$F:$F,"&lt;&gt;VERIFICAR")</f>
        <v>1</v>
      </c>
      <c r="E357" s="89" t="s">
        <v>766</v>
      </c>
      <c r="F357" s="89" t="s">
        <v>2220</v>
      </c>
      <c r="G357" s="89">
        <f>VLOOKUP(F357,PACOTES!B:E,4,FALSE)</f>
        <v>6</v>
      </c>
      <c r="H357" s="89"/>
    </row>
    <row r="358" spans="1:8" ht="15.75" hidden="1">
      <c r="A358" s="95">
        <v>358</v>
      </c>
      <c r="B358" s="89" t="s">
        <v>767</v>
      </c>
      <c r="C358" s="90"/>
      <c r="D358" s="89">
        <f>COUNTIFS(EQUIPAMENTOS!$A:$A,A358,EQUIPAMENTOS!$F:$F,"&lt;&gt;FLIPERAMA",EQUIPAMENTOS!$F:$F,"&lt;&gt;VERIFICAR")</f>
        <v>1</v>
      </c>
      <c r="E358" s="89" t="s">
        <v>768</v>
      </c>
      <c r="F358" s="89" t="s">
        <v>2218</v>
      </c>
      <c r="G358" s="89">
        <f>VLOOKUP(F358,PACOTES!B:E,4,FALSE)</f>
        <v>8</v>
      </c>
      <c r="H358" s="89"/>
    </row>
    <row r="359" spans="1:8" ht="15.75" hidden="1">
      <c r="A359" s="95">
        <v>359</v>
      </c>
      <c r="B359" s="89" t="s">
        <v>769</v>
      </c>
      <c r="C359" s="90" t="s">
        <v>770</v>
      </c>
      <c r="D359" s="89">
        <f>COUNTIFS(EQUIPAMENTOS!$A:$A,A359,EQUIPAMENTOS!$F:$F,"&lt;&gt;FLIPERAMA",EQUIPAMENTOS!$F:$F,"&lt;&gt;VERIFICAR")</f>
        <v>2</v>
      </c>
      <c r="E359" s="89" t="s">
        <v>771</v>
      </c>
      <c r="F359" s="89" t="s">
        <v>2226</v>
      </c>
      <c r="G359" s="89">
        <f>VLOOKUP(F359,PACOTES!B:E,4,FALSE)</f>
        <v>0</v>
      </c>
      <c r="H359" s="89" t="s">
        <v>134</v>
      </c>
    </row>
    <row r="360" spans="1:8" ht="15.75" hidden="1">
      <c r="A360" s="95">
        <v>360</v>
      </c>
      <c r="B360" s="89" t="s">
        <v>772</v>
      </c>
      <c r="C360" s="90"/>
      <c r="D360" s="89">
        <f>COUNTIFS(EQUIPAMENTOS!$A:$A,A360,EQUIPAMENTOS!$F:$F,"&lt;&gt;FLIPERAMA",EQUIPAMENTOS!$F:$F,"&lt;&gt;VERIFICAR")</f>
        <v>1</v>
      </c>
      <c r="E360" s="89" t="s">
        <v>773</v>
      </c>
      <c r="F360" s="89" t="s">
        <v>2217</v>
      </c>
      <c r="G360" s="89">
        <f>VLOOKUP(F360,PACOTES!B:E,4,FALSE)</f>
        <v>9</v>
      </c>
      <c r="H360" s="89"/>
    </row>
    <row r="361" spans="1:8" ht="15.75" hidden="1">
      <c r="A361" s="95">
        <v>361</v>
      </c>
      <c r="B361" s="89" t="s">
        <v>774</v>
      </c>
      <c r="C361" s="90"/>
      <c r="D361" s="89">
        <f>COUNTIFS(EQUIPAMENTOS!$A:$A,A361,EQUIPAMENTOS!$F:$F,"&lt;&gt;FLIPERAMA",EQUIPAMENTOS!$F:$F,"&lt;&gt;VERIFICAR")</f>
        <v>1</v>
      </c>
      <c r="E361" s="89" t="s">
        <v>775</v>
      </c>
      <c r="F361" s="89" t="s">
        <v>2219</v>
      </c>
      <c r="G361" s="89">
        <f>VLOOKUP(F361,PACOTES!B:E,4,FALSE)</f>
        <v>7</v>
      </c>
      <c r="H361" s="89"/>
    </row>
    <row r="362" spans="1:8" ht="15.75" hidden="1">
      <c r="A362" s="95">
        <v>362</v>
      </c>
      <c r="B362" s="89" t="s">
        <v>776</v>
      </c>
      <c r="C362" s="90"/>
      <c r="D362" s="89">
        <f>COUNTIFS(EQUIPAMENTOS!$A:$A,A362,EQUIPAMENTOS!$F:$F,"&lt;&gt;FLIPERAMA",EQUIPAMENTOS!$F:$F,"&lt;&gt;VERIFICAR")</f>
        <v>1</v>
      </c>
      <c r="E362" s="89" t="s">
        <v>777</v>
      </c>
      <c r="F362" s="89" t="s">
        <v>2221</v>
      </c>
      <c r="G362" s="89">
        <f>VLOOKUP(F362,PACOTES!B:E,4,FALSE)</f>
        <v>5</v>
      </c>
      <c r="H362" s="89"/>
    </row>
    <row r="363" spans="1:8" ht="15.75" hidden="1">
      <c r="A363" s="95">
        <v>363</v>
      </c>
      <c r="B363" s="89" t="s">
        <v>778</v>
      </c>
      <c r="C363" s="90"/>
      <c r="D363" s="89">
        <f>COUNTIFS(EQUIPAMENTOS!$A:$A,A363,EQUIPAMENTOS!$F:$F,"&lt;&gt;FLIPERAMA",EQUIPAMENTOS!$F:$F,"&lt;&gt;VERIFICAR")</f>
        <v>2</v>
      </c>
      <c r="E363" s="89" t="s">
        <v>779</v>
      </c>
      <c r="F363" s="89" t="s">
        <v>2218</v>
      </c>
      <c r="G363" s="89">
        <f>VLOOKUP(F363,PACOTES!B:E,4,FALSE)</f>
        <v>8</v>
      </c>
      <c r="H363" s="89"/>
    </row>
    <row r="364" spans="1:8" ht="15.75" hidden="1">
      <c r="A364" s="95">
        <v>364</v>
      </c>
      <c r="B364" s="89" t="s">
        <v>780</v>
      </c>
      <c r="C364" s="90"/>
      <c r="D364" s="89">
        <f>COUNTIFS(EQUIPAMENTOS!$A:$A,A364,EQUIPAMENTOS!$F:$F,"&lt;&gt;FLIPERAMA",EQUIPAMENTOS!$F:$F,"&lt;&gt;VERIFICAR")</f>
        <v>1</v>
      </c>
      <c r="E364" s="89" t="s">
        <v>781</v>
      </c>
      <c r="F364" s="89" t="s">
        <v>2222</v>
      </c>
      <c r="G364" s="89">
        <f>VLOOKUP(F364,PACOTES!B:E,4,FALSE)</f>
        <v>4</v>
      </c>
      <c r="H364" s="89"/>
    </row>
    <row r="365" spans="1:8" ht="15.75" hidden="1">
      <c r="A365" s="95">
        <v>365</v>
      </c>
      <c r="B365" s="89" t="s">
        <v>782</v>
      </c>
      <c r="C365" s="90"/>
      <c r="D365" s="89">
        <f>COUNTIFS(EQUIPAMENTOS!$A:$A,A365,EQUIPAMENTOS!$F:$F,"&lt;&gt;FLIPERAMA",EQUIPAMENTOS!$F:$F,"&lt;&gt;VERIFICAR")</f>
        <v>3</v>
      </c>
      <c r="E365" s="89" t="s">
        <v>783</v>
      </c>
      <c r="F365" s="89" t="s">
        <v>2225</v>
      </c>
      <c r="G365" s="89">
        <f>VLOOKUP(F365,PACOTES!B:E,4,FALSE)</f>
        <v>1</v>
      </c>
      <c r="H365" s="89"/>
    </row>
    <row r="366" spans="1:8" ht="31.5" hidden="1">
      <c r="A366" s="95">
        <v>366</v>
      </c>
      <c r="B366" s="89" t="s">
        <v>784</v>
      </c>
      <c r="C366" s="90" t="s">
        <v>785</v>
      </c>
      <c r="D366" s="89">
        <f>COUNTIFS(EQUIPAMENTOS!$A:$A,A366,EQUIPAMENTOS!$F:$F,"&lt;&gt;FLIPERAMA",EQUIPAMENTOS!$F:$F,"&lt;&gt;VERIFICAR")</f>
        <v>3</v>
      </c>
      <c r="E366" s="89" t="s">
        <v>786</v>
      </c>
      <c r="F366" s="89" t="s">
        <v>2225</v>
      </c>
      <c r="G366" s="89">
        <f>VLOOKUP(F366,PACOTES!B:E,4,FALSE)</f>
        <v>1</v>
      </c>
      <c r="H366" s="89" t="s">
        <v>134</v>
      </c>
    </row>
    <row r="367" spans="1:8" ht="15.75" hidden="1">
      <c r="A367" s="95">
        <v>367</v>
      </c>
      <c r="B367" s="89" t="s">
        <v>787</v>
      </c>
      <c r="C367" s="90"/>
      <c r="D367" s="89">
        <f>COUNTIFS(EQUIPAMENTOS!$A:$A,A367,EQUIPAMENTOS!$F:$F,"&lt;&gt;FLIPERAMA",EQUIPAMENTOS!$F:$F,"&lt;&gt;VERIFICAR")</f>
        <v>2</v>
      </c>
      <c r="E367" s="89" t="s">
        <v>788</v>
      </c>
      <c r="F367" s="89" t="s">
        <v>2225</v>
      </c>
      <c r="G367" s="89">
        <f>VLOOKUP(F367,PACOTES!B:E,4,FALSE)</f>
        <v>1</v>
      </c>
      <c r="H367" s="89"/>
    </row>
    <row r="368" spans="1:8" ht="15.75" hidden="1">
      <c r="A368" s="95">
        <v>368</v>
      </c>
      <c r="B368" s="89" t="s">
        <v>789</v>
      </c>
      <c r="C368" s="90"/>
      <c r="D368" s="89">
        <f>COUNTIFS(EQUIPAMENTOS!$A:$A,A368,EQUIPAMENTOS!$F:$F,"&lt;&gt;FLIPERAMA",EQUIPAMENTOS!$F:$F,"&lt;&gt;VERIFICAR")</f>
        <v>1</v>
      </c>
      <c r="E368" s="89" t="s">
        <v>790</v>
      </c>
      <c r="F368" s="89" t="s">
        <v>2220</v>
      </c>
      <c r="G368" s="89">
        <f>VLOOKUP(F368,PACOTES!B:E,4,FALSE)</f>
        <v>6</v>
      </c>
      <c r="H368" s="89"/>
    </row>
    <row r="369" spans="1:8" ht="15.75" hidden="1">
      <c r="A369" s="95">
        <v>369</v>
      </c>
      <c r="B369" s="89" t="s">
        <v>791</v>
      </c>
      <c r="C369" s="90"/>
      <c r="D369" s="89">
        <f>COUNTIFS(EQUIPAMENTOS!$A:$A,A369,EQUIPAMENTOS!$F:$F,"&lt;&gt;FLIPERAMA",EQUIPAMENTOS!$F:$F,"&lt;&gt;VERIFICAR")</f>
        <v>1</v>
      </c>
      <c r="E369" s="89" t="s">
        <v>792</v>
      </c>
      <c r="F369" s="89" t="s">
        <v>2221</v>
      </c>
      <c r="G369" s="89">
        <f>VLOOKUP(F369,PACOTES!B:E,4,FALSE)</f>
        <v>5</v>
      </c>
      <c r="H369" s="89"/>
    </row>
    <row r="370" spans="1:8" ht="15.75" hidden="1">
      <c r="A370" s="95">
        <v>370</v>
      </c>
      <c r="B370" s="89" t="s">
        <v>793</v>
      </c>
      <c r="C370" s="90"/>
      <c r="D370" s="89">
        <f>COUNTIFS(EQUIPAMENTOS!$A:$A,A370,EQUIPAMENTOS!$F:$F,"&lt;&gt;FLIPERAMA",EQUIPAMENTOS!$F:$F,"&lt;&gt;VERIFICAR")</f>
        <v>1</v>
      </c>
      <c r="E370" s="89" t="s">
        <v>794</v>
      </c>
      <c r="F370" s="89" t="s">
        <v>2220</v>
      </c>
      <c r="G370" s="89">
        <f>VLOOKUP(F370,PACOTES!B:E,4,FALSE)</f>
        <v>6</v>
      </c>
      <c r="H370" s="89"/>
    </row>
    <row r="371" spans="1:8" ht="31.5" hidden="1">
      <c r="A371" s="95">
        <v>371</v>
      </c>
      <c r="B371" s="89" t="s">
        <v>795</v>
      </c>
      <c r="C371" s="90" t="s">
        <v>796</v>
      </c>
      <c r="D371" s="89">
        <f>COUNTIFS(EQUIPAMENTOS!$A:$A,A371,EQUIPAMENTOS!$F:$F,"&lt;&gt;FLIPERAMA",EQUIPAMENTOS!$F:$F,"&lt;&gt;VERIFICAR")</f>
        <v>1</v>
      </c>
      <c r="E371" s="89" t="s">
        <v>797</v>
      </c>
      <c r="F371" s="89" t="s">
        <v>2226</v>
      </c>
      <c r="G371" s="89">
        <f>VLOOKUP(F371,PACOTES!B:E,4,FALSE)</f>
        <v>0</v>
      </c>
      <c r="H371" s="89" t="s">
        <v>134</v>
      </c>
    </row>
    <row r="372" spans="1:8" ht="15.75" hidden="1">
      <c r="A372" s="95">
        <v>372</v>
      </c>
      <c r="B372" s="89" t="s">
        <v>798</v>
      </c>
      <c r="C372" s="90"/>
      <c r="D372" s="89">
        <f>COUNTIFS(EQUIPAMENTOS!$A:$A,A372,EQUIPAMENTOS!$F:$F,"&lt;&gt;FLIPERAMA",EQUIPAMENTOS!$F:$F,"&lt;&gt;VERIFICAR")</f>
        <v>1</v>
      </c>
      <c r="E372" s="89" t="s">
        <v>799</v>
      </c>
      <c r="F372" s="89" t="s">
        <v>2217</v>
      </c>
      <c r="G372" s="89">
        <f>VLOOKUP(F372,PACOTES!B:E,4,FALSE)</f>
        <v>9</v>
      </c>
      <c r="H372" s="89"/>
    </row>
    <row r="373" spans="1:8" ht="15.75" hidden="1">
      <c r="A373" s="95">
        <v>373</v>
      </c>
      <c r="B373" s="89" t="s">
        <v>800</v>
      </c>
      <c r="C373" s="90"/>
      <c r="D373" s="89">
        <f>COUNTIFS(EQUIPAMENTOS!$A:$A,A373,EQUIPAMENTOS!$F:$F,"&lt;&gt;FLIPERAMA",EQUIPAMENTOS!$F:$F,"&lt;&gt;VERIFICAR")</f>
        <v>1</v>
      </c>
      <c r="E373" s="89" t="s">
        <v>801</v>
      </c>
      <c r="F373" s="89" t="s">
        <v>2215</v>
      </c>
      <c r="G373" s="89">
        <f>VLOOKUP(F373,PACOTES!B:E,4,FALSE)</f>
        <v>11</v>
      </c>
      <c r="H373" s="89"/>
    </row>
    <row r="374" spans="1:8" ht="15.75" hidden="1">
      <c r="A374" s="95">
        <v>374</v>
      </c>
      <c r="B374" s="89" t="s">
        <v>802</v>
      </c>
      <c r="C374" s="90"/>
      <c r="D374" s="89">
        <f>COUNTIFS(EQUIPAMENTOS!$A:$A,A374,EQUIPAMENTOS!$F:$F,"&lt;&gt;FLIPERAMA",EQUIPAMENTOS!$F:$F,"&lt;&gt;VERIFICAR")</f>
        <v>1</v>
      </c>
      <c r="E374" s="89" t="s">
        <v>803</v>
      </c>
      <c r="F374" s="89" t="s">
        <v>2225</v>
      </c>
      <c r="G374" s="89">
        <f>VLOOKUP(F374,PACOTES!B:E,4,FALSE)</f>
        <v>1</v>
      </c>
      <c r="H374" s="89"/>
    </row>
    <row r="375" spans="1:8" ht="15.75" hidden="1">
      <c r="A375" s="95">
        <v>375</v>
      </c>
      <c r="B375" s="89" t="s">
        <v>804</v>
      </c>
      <c r="C375" s="90"/>
      <c r="D375" s="89">
        <f>COUNTIFS(EQUIPAMENTOS!$A:$A,A375,EQUIPAMENTOS!$F:$F,"&lt;&gt;FLIPERAMA",EQUIPAMENTOS!$F:$F,"&lt;&gt;VERIFICAR")</f>
        <v>1</v>
      </c>
      <c r="E375" s="89" t="s">
        <v>805</v>
      </c>
      <c r="F375" s="89" t="s">
        <v>2222</v>
      </c>
      <c r="G375" s="89">
        <f>VLOOKUP(F375,PACOTES!B:E,4,FALSE)</f>
        <v>4</v>
      </c>
      <c r="H375" s="89" t="s">
        <v>419</v>
      </c>
    </row>
    <row r="376" spans="1:8" ht="15.75" hidden="1">
      <c r="A376" s="95">
        <v>376</v>
      </c>
      <c r="B376" s="89" t="s">
        <v>806</v>
      </c>
      <c r="C376" s="90"/>
      <c r="D376" s="89">
        <f>COUNTIFS(EQUIPAMENTOS!$A:$A,A376,EQUIPAMENTOS!$F:$F,"&lt;&gt;FLIPERAMA",EQUIPAMENTOS!$F:$F,"&lt;&gt;VERIFICAR")</f>
        <v>2</v>
      </c>
      <c r="E376" s="89" t="s">
        <v>807</v>
      </c>
      <c r="F376" s="89" t="s">
        <v>2218</v>
      </c>
      <c r="G376" s="89">
        <f>VLOOKUP(F376,PACOTES!B:E,4,FALSE)</f>
        <v>8</v>
      </c>
      <c r="H376" s="89"/>
    </row>
    <row r="377" spans="1:8" ht="15.75" hidden="1">
      <c r="A377" s="95">
        <v>377</v>
      </c>
      <c r="B377" s="89" t="s">
        <v>808</v>
      </c>
      <c r="C377" s="90"/>
      <c r="D377" s="89">
        <f>COUNTIFS(EQUIPAMENTOS!$A:$A,A377,EQUIPAMENTOS!$F:$F,"&lt;&gt;FLIPERAMA",EQUIPAMENTOS!$F:$F,"&lt;&gt;VERIFICAR")</f>
        <v>6</v>
      </c>
      <c r="E377" s="89" t="s">
        <v>809</v>
      </c>
      <c r="F377" s="89" t="s">
        <v>2225</v>
      </c>
      <c r="G377" s="89">
        <f>VLOOKUP(F377,PACOTES!B:E,4,FALSE)</f>
        <v>1</v>
      </c>
      <c r="H377" s="89"/>
    </row>
    <row r="378" spans="1:8" ht="15.75" hidden="1">
      <c r="A378" s="95">
        <v>378</v>
      </c>
      <c r="B378" s="89" t="s">
        <v>810</v>
      </c>
      <c r="C378" s="90"/>
      <c r="D378" s="89">
        <f>COUNTIFS(EQUIPAMENTOS!$A:$A,A378,EQUIPAMENTOS!$F:$F,"&lt;&gt;FLIPERAMA",EQUIPAMENTOS!$F:$F,"&lt;&gt;VERIFICAR")</f>
        <v>1</v>
      </c>
      <c r="E378" s="89" t="s">
        <v>811</v>
      </c>
      <c r="F378" s="89" t="s">
        <v>2221</v>
      </c>
      <c r="G378" s="89">
        <f>VLOOKUP(F378,PACOTES!B:E,4,FALSE)</f>
        <v>5</v>
      </c>
      <c r="H378" s="89"/>
    </row>
    <row r="379" spans="1:8" ht="15.75" hidden="1">
      <c r="A379" s="95">
        <v>379</v>
      </c>
      <c r="B379" s="89" t="s">
        <v>812</v>
      </c>
      <c r="C379" s="90"/>
      <c r="D379" s="89">
        <f>COUNTIFS(EQUIPAMENTOS!$A:$A,A379,EQUIPAMENTOS!$F:$F,"&lt;&gt;FLIPERAMA",EQUIPAMENTOS!$F:$F,"&lt;&gt;VERIFICAR")</f>
        <v>1</v>
      </c>
      <c r="E379" s="89" t="s">
        <v>813</v>
      </c>
      <c r="F379" s="89" t="s">
        <v>2217</v>
      </c>
      <c r="G379" s="89">
        <f>VLOOKUP(F379,PACOTES!B:E,4,FALSE)</f>
        <v>9</v>
      </c>
      <c r="H379" s="89"/>
    </row>
    <row r="380" spans="1:8" ht="15.75" hidden="1">
      <c r="A380" s="95">
        <v>380</v>
      </c>
      <c r="B380" s="89" t="s">
        <v>814</v>
      </c>
      <c r="C380" s="90"/>
      <c r="D380" s="89">
        <f>COUNTIFS(EQUIPAMENTOS!$A:$A,A380,EQUIPAMENTOS!$F:$F,"&lt;&gt;FLIPERAMA",EQUIPAMENTOS!$F:$F,"&lt;&gt;VERIFICAR")</f>
        <v>1</v>
      </c>
      <c r="E380" s="89" t="s">
        <v>815</v>
      </c>
      <c r="F380" s="89" t="s">
        <v>2218</v>
      </c>
      <c r="G380" s="89">
        <f>VLOOKUP(F380,PACOTES!B:E,4,FALSE)</f>
        <v>8</v>
      </c>
      <c r="H380" s="89"/>
    </row>
    <row r="381" spans="1:8" ht="15.75" hidden="1">
      <c r="A381" s="95">
        <v>381</v>
      </c>
      <c r="B381" s="89" t="s">
        <v>816</v>
      </c>
      <c r="C381" s="90"/>
      <c r="D381" s="89">
        <f>COUNTIFS(EQUIPAMENTOS!$A:$A,A381,EQUIPAMENTOS!$F:$F,"&lt;&gt;FLIPERAMA",EQUIPAMENTOS!$F:$F,"&lt;&gt;VERIFICAR")</f>
        <v>1</v>
      </c>
      <c r="E381" s="89" t="s">
        <v>817</v>
      </c>
      <c r="F381" s="89" t="s">
        <v>2220</v>
      </c>
      <c r="G381" s="89">
        <f>VLOOKUP(F381,PACOTES!B:E,4,FALSE)</f>
        <v>6</v>
      </c>
      <c r="H381" s="89"/>
    </row>
    <row r="382" spans="1:8" ht="15.75" hidden="1">
      <c r="A382" s="95">
        <v>382</v>
      </c>
      <c r="B382" s="89" t="s">
        <v>818</v>
      </c>
      <c r="C382" s="90"/>
      <c r="D382" s="89">
        <f>COUNTIFS(EQUIPAMENTOS!$A:$A,A382,EQUIPAMENTOS!$F:$F,"&lt;&gt;FLIPERAMA",EQUIPAMENTOS!$F:$F,"&lt;&gt;VERIFICAR")</f>
        <v>1</v>
      </c>
      <c r="E382" s="89" t="s">
        <v>819</v>
      </c>
      <c r="F382" s="89" t="s">
        <v>2218</v>
      </c>
      <c r="G382" s="89">
        <f>VLOOKUP(F382,PACOTES!B:E,4,FALSE)</f>
        <v>8</v>
      </c>
      <c r="H382" s="89"/>
    </row>
    <row r="383" spans="1:8" ht="15.75" hidden="1">
      <c r="A383" s="95">
        <v>383</v>
      </c>
      <c r="B383" s="89" t="s">
        <v>820</v>
      </c>
      <c r="C383" s="90"/>
      <c r="D383" s="89">
        <f>COUNTIFS(EQUIPAMENTOS!$A:$A,A383,EQUIPAMENTOS!$F:$F,"&lt;&gt;FLIPERAMA",EQUIPAMENTOS!$F:$F,"&lt;&gt;VERIFICAR")</f>
        <v>1</v>
      </c>
      <c r="E383" s="89" t="s">
        <v>821</v>
      </c>
      <c r="F383" s="89" t="s">
        <v>2218</v>
      </c>
      <c r="G383" s="89">
        <f>VLOOKUP(F383,PACOTES!B:E,4,FALSE)</f>
        <v>8</v>
      </c>
      <c r="H383" s="89"/>
    </row>
    <row r="384" spans="1:8" ht="15.75" hidden="1">
      <c r="A384" s="95">
        <v>384</v>
      </c>
      <c r="B384" s="89" t="s">
        <v>822</v>
      </c>
      <c r="C384" s="90"/>
      <c r="D384" s="89">
        <f>COUNTIFS(EQUIPAMENTOS!$A:$A,A384,EQUIPAMENTOS!$F:$F,"&lt;&gt;FLIPERAMA",EQUIPAMENTOS!$F:$F,"&lt;&gt;VERIFICAR")</f>
        <v>3</v>
      </c>
      <c r="E384" s="89" t="s">
        <v>823</v>
      </c>
      <c r="F384" s="89" t="s">
        <v>2225</v>
      </c>
      <c r="G384" s="89">
        <f>VLOOKUP(F384,PACOTES!B:E,4,FALSE)</f>
        <v>1</v>
      </c>
      <c r="H384" s="89"/>
    </row>
    <row r="385" spans="1:8" ht="15.75" hidden="1">
      <c r="A385" s="95">
        <v>385</v>
      </c>
      <c r="B385" s="89" t="s">
        <v>824</v>
      </c>
      <c r="C385" s="90"/>
      <c r="D385" s="89">
        <f>COUNTIFS(EQUIPAMENTOS!$A:$A,A385,EQUIPAMENTOS!$F:$F,"&lt;&gt;FLIPERAMA",EQUIPAMENTOS!$F:$F,"&lt;&gt;VERIFICAR")</f>
        <v>1</v>
      </c>
      <c r="E385" s="89" t="s">
        <v>825</v>
      </c>
      <c r="F385" s="89" t="s">
        <v>2221</v>
      </c>
      <c r="G385" s="89">
        <f>VLOOKUP(F385,PACOTES!B:E,4,FALSE)</f>
        <v>5</v>
      </c>
      <c r="H385" s="89"/>
    </row>
    <row r="386" spans="1:8" ht="15.75">
      <c r="A386" s="95">
        <v>386</v>
      </c>
      <c r="B386" s="89" t="s">
        <v>826</v>
      </c>
      <c r="C386" s="90"/>
      <c r="D386" s="89">
        <f>COUNTIFS(EQUIPAMENTOS!$A:$A,A386,EQUIPAMENTOS!$F:$F,"&lt;&gt;FLIPERAMA",EQUIPAMENTOS!$F:$F,"&lt;&gt;VERIFICAR")</f>
        <v>1</v>
      </c>
      <c r="E386" s="89" t="s">
        <v>827</v>
      </c>
      <c r="F386" s="89" t="s">
        <v>2226</v>
      </c>
      <c r="G386" s="89">
        <f>VLOOKUP(F386,PACOTES!B:E,4,FALSE)</f>
        <v>0</v>
      </c>
      <c r="H386" s="89"/>
    </row>
    <row r="387" spans="1:8" ht="15.75" hidden="1">
      <c r="A387" s="95">
        <v>387</v>
      </c>
      <c r="B387" s="89" t="s">
        <v>828</v>
      </c>
      <c r="C387" s="90"/>
      <c r="D387" s="89">
        <f>COUNTIFS(EQUIPAMENTOS!$A:$A,A387,EQUIPAMENTOS!$F:$F,"&lt;&gt;FLIPERAMA",EQUIPAMENTOS!$F:$F,"&lt;&gt;VERIFICAR")</f>
        <v>1</v>
      </c>
      <c r="E387" s="89" t="s">
        <v>829</v>
      </c>
      <c r="F387" s="89" t="s">
        <v>2219</v>
      </c>
      <c r="G387" s="89">
        <f>VLOOKUP(F387,PACOTES!B:E,4,FALSE)</f>
        <v>7</v>
      </c>
      <c r="H387" s="89"/>
    </row>
    <row r="388" spans="1:8" ht="15.75" hidden="1">
      <c r="A388" s="95">
        <v>388</v>
      </c>
      <c r="B388" s="89" t="s">
        <v>830</v>
      </c>
      <c r="C388" s="90"/>
      <c r="D388" s="89">
        <f>COUNTIFS(EQUIPAMENTOS!$A:$A,A388,EQUIPAMENTOS!$F:$F,"&lt;&gt;FLIPERAMA",EQUIPAMENTOS!$F:$F,"&lt;&gt;VERIFICAR")</f>
        <v>1</v>
      </c>
      <c r="E388" s="89" t="s">
        <v>831</v>
      </c>
      <c r="F388" s="89" t="s">
        <v>2222</v>
      </c>
      <c r="G388" s="89">
        <f>VLOOKUP(F388,PACOTES!B:E,4,FALSE)</f>
        <v>4</v>
      </c>
      <c r="H388" s="89"/>
    </row>
    <row r="389" spans="1:8" ht="15.75" hidden="1">
      <c r="A389" s="95">
        <v>389</v>
      </c>
      <c r="B389" s="89" t="s">
        <v>832</v>
      </c>
      <c r="C389" s="90"/>
      <c r="D389" s="89">
        <f>COUNTIFS(EQUIPAMENTOS!$A:$A,A389,EQUIPAMENTOS!$F:$F,"&lt;&gt;FLIPERAMA",EQUIPAMENTOS!$F:$F,"&lt;&gt;VERIFICAR")</f>
        <v>1</v>
      </c>
      <c r="E389" s="89" t="s">
        <v>833</v>
      </c>
      <c r="F389" s="89" t="s">
        <v>2217</v>
      </c>
      <c r="G389" s="89">
        <f>VLOOKUP(F389,PACOTES!B:E,4,FALSE)</f>
        <v>9</v>
      </c>
      <c r="H389" s="89"/>
    </row>
    <row r="390" spans="1:8" ht="15.75" hidden="1">
      <c r="A390" s="95">
        <v>390</v>
      </c>
      <c r="B390" s="89" t="s">
        <v>834</v>
      </c>
      <c r="C390" s="90"/>
      <c r="D390" s="89">
        <f>COUNTIFS(EQUIPAMENTOS!$A:$A,A390,EQUIPAMENTOS!$F:$F,"&lt;&gt;FLIPERAMA",EQUIPAMENTOS!$F:$F,"&lt;&gt;VERIFICAR")</f>
        <v>1</v>
      </c>
      <c r="E390" s="89" t="s">
        <v>835</v>
      </c>
      <c r="F390" s="89" t="s">
        <v>2221</v>
      </c>
      <c r="G390" s="89">
        <f>VLOOKUP(F390,PACOTES!B:E,4,FALSE)</f>
        <v>5</v>
      </c>
      <c r="H390" s="89"/>
    </row>
    <row r="391" spans="1:8" ht="15.75" hidden="1">
      <c r="A391" s="95">
        <v>391</v>
      </c>
      <c r="B391" s="89" t="s">
        <v>836</v>
      </c>
      <c r="C391" s="90"/>
      <c r="D391" s="89">
        <f>COUNTIFS(EQUIPAMENTOS!$A:$A,A391,EQUIPAMENTOS!$F:$F,"&lt;&gt;FLIPERAMA",EQUIPAMENTOS!$F:$F,"&lt;&gt;VERIFICAR")</f>
        <v>1</v>
      </c>
      <c r="E391" s="89" t="s">
        <v>837</v>
      </c>
      <c r="F391" s="89" t="s">
        <v>2218</v>
      </c>
      <c r="G391" s="89">
        <f>VLOOKUP(F391,PACOTES!B:E,4,FALSE)</f>
        <v>8</v>
      </c>
      <c r="H391" s="89"/>
    </row>
    <row r="392" spans="1:8" ht="15.75" hidden="1">
      <c r="A392" s="95">
        <v>392</v>
      </c>
      <c r="B392" s="89" t="s">
        <v>838</v>
      </c>
      <c r="C392" s="90"/>
      <c r="D392" s="89">
        <f>COUNTIFS(EQUIPAMENTOS!$A:$A,A392,EQUIPAMENTOS!$F:$F,"&lt;&gt;FLIPERAMA",EQUIPAMENTOS!$F:$F,"&lt;&gt;VERIFICAR")</f>
        <v>1</v>
      </c>
      <c r="E392" s="89" t="s">
        <v>839</v>
      </c>
      <c r="F392" s="89" t="s">
        <v>2224</v>
      </c>
      <c r="G392" s="89">
        <f>VLOOKUP(F392,PACOTES!B:E,4,FALSE)</f>
        <v>2</v>
      </c>
      <c r="H392" s="89"/>
    </row>
    <row r="393" spans="1:8" ht="15.75" hidden="1">
      <c r="A393" s="95">
        <v>393</v>
      </c>
      <c r="B393" s="89" t="s">
        <v>840</v>
      </c>
      <c r="C393" s="90"/>
      <c r="D393" s="89">
        <f>COUNTIFS(EQUIPAMENTOS!$A:$A,A393,EQUIPAMENTOS!$F:$F,"&lt;&gt;FLIPERAMA",EQUIPAMENTOS!$F:$F,"&lt;&gt;VERIFICAR")</f>
        <v>1</v>
      </c>
      <c r="E393" s="89" t="s">
        <v>841</v>
      </c>
      <c r="F393" s="89" t="s">
        <v>2223</v>
      </c>
      <c r="G393" s="89">
        <f>VLOOKUP(F393,PACOTES!B:E,4,FALSE)</f>
        <v>3</v>
      </c>
      <c r="H393" s="89"/>
    </row>
    <row r="394" spans="1:8" ht="15.75" hidden="1">
      <c r="A394" s="95">
        <v>394</v>
      </c>
      <c r="B394" s="89" t="s">
        <v>842</v>
      </c>
      <c r="C394" s="90"/>
      <c r="D394" s="89">
        <f>COUNTIFS(EQUIPAMENTOS!$A:$A,A394,EQUIPAMENTOS!$F:$F,"&lt;&gt;FLIPERAMA",EQUIPAMENTOS!$F:$F,"&lt;&gt;VERIFICAR")</f>
        <v>1</v>
      </c>
      <c r="E394" s="89" t="s">
        <v>843</v>
      </c>
      <c r="F394" s="89" t="s">
        <v>2219</v>
      </c>
      <c r="G394" s="89">
        <f>VLOOKUP(F394,PACOTES!B:E,4,FALSE)</f>
        <v>7</v>
      </c>
      <c r="H394" s="89"/>
    </row>
    <row r="395" spans="1:8" ht="15.75" hidden="1">
      <c r="A395" s="95">
        <v>395</v>
      </c>
      <c r="B395" s="89" t="s">
        <v>844</v>
      </c>
      <c r="C395" s="90"/>
      <c r="D395" s="89">
        <f>COUNTIFS(EQUIPAMENTOS!$A:$A,A395,EQUIPAMENTOS!$F:$F,"&lt;&gt;FLIPERAMA",EQUIPAMENTOS!$F:$F,"&lt;&gt;VERIFICAR")</f>
        <v>2</v>
      </c>
      <c r="E395" s="89" t="s">
        <v>845</v>
      </c>
      <c r="F395" s="89" t="s">
        <v>2221</v>
      </c>
      <c r="G395" s="89">
        <f>VLOOKUP(F395,PACOTES!B:E,4,FALSE)</f>
        <v>5</v>
      </c>
      <c r="H395" s="89"/>
    </row>
    <row r="396" spans="1:8" ht="15.75" hidden="1">
      <c r="A396" s="95">
        <v>396</v>
      </c>
      <c r="B396" s="89" t="s">
        <v>846</v>
      </c>
      <c r="C396" s="90"/>
      <c r="D396" s="89">
        <f>COUNTIFS(EQUIPAMENTOS!$A:$A,A396,EQUIPAMENTOS!$F:$F,"&lt;&gt;FLIPERAMA",EQUIPAMENTOS!$F:$F,"&lt;&gt;VERIFICAR")</f>
        <v>1</v>
      </c>
      <c r="E396" s="89" t="s">
        <v>847</v>
      </c>
      <c r="F396" s="89" t="s">
        <v>2216</v>
      </c>
      <c r="G396" s="89">
        <f>VLOOKUP(F396,PACOTES!B:E,4,FALSE)</f>
        <v>10</v>
      </c>
      <c r="H396" s="89"/>
    </row>
    <row r="397" spans="1:8" ht="15.75" hidden="1">
      <c r="A397" s="95">
        <v>397</v>
      </c>
      <c r="B397" s="89" t="s">
        <v>848</v>
      </c>
      <c r="C397" s="90"/>
      <c r="D397" s="89">
        <f>COUNTIFS(EQUIPAMENTOS!$A:$A,A397,EQUIPAMENTOS!$F:$F,"&lt;&gt;FLIPERAMA",EQUIPAMENTOS!$F:$F,"&lt;&gt;VERIFICAR")</f>
        <v>1</v>
      </c>
      <c r="E397" s="89" t="s">
        <v>849</v>
      </c>
      <c r="F397" s="89" t="s">
        <v>2222</v>
      </c>
      <c r="G397" s="89">
        <f>VLOOKUP(F397,PACOTES!B:E,4,FALSE)</f>
        <v>4</v>
      </c>
      <c r="H397" s="89"/>
    </row>
    <row r="398" spans="1:8" ht="15.75" hidden="1">
      <c r="A398" s="95">
        <v>398</v>
      </c>
      <c r="B398" s="89" t="s">
        <v>850</v>
      </c>
      <c r="C398" s="90"/>
      <c r="D398" s="89">
        <f>COUNTIFS(EQUIPAMENTOS!$A:$A,A398,EQUIPAMENTOS!$F:$F,"&lt;&gt;FLIPERAMA",EQUIPAMENTOS!$F:$F,"&lt;&gt;VERIFICAR")</f>
        <v>2</v>
      </c>
      <c r="E398" s="89" t="s">
        <v>851</v>
      </c>
      <c r="F398" s="89" t="s">
        <v>2217</v>
      </c>
      <c r="G398" s="89">
        <f>VLOOKUP(F398,PACOTES!B:E,4,FALSE)</f>
        <v>9</v>
      </c>
      <c r="H398" s="89"/>
    </row>
    <row r="399" spans="1:8" ht="15.75" hidden="1">
      <c r="A399" s="95">
        <v>399</v>
      </c>
      <c r="B399" s="89" t="s">
        <v>852</v>
      </c>
      <c r="C399" s="90"/>
      <c r="D399" s="89">
        <f>COUNTIFS(EQUIPAMENTOS!$A:$A,A399,EQUIPAMENTOS!$F:$F,"&lt;&gt;FLIPERAMA",EQUIPAMENTOS!$F:$F,"&lt;&gt;VERIFICAR")</f>
        <v>1</v>
      </c>
      <c r="E399" s="89" t="s">
        <v>853</v>
      </c>
      <c r="F399" s="89" t="s">
        <v>2217</v>
      </c>
      <c r="G399" s="89">
        <f>VLOOKUP(F399,PACOTES!B:E,4,FALSE)</f>
        <v>9</v>
      </c>
      <c r="H399" s="89"/>
    </row>
    <row r="400" spans="1:8" ht="15.75" hidden="1">
      <c r="A400" s="95">
        <v>400</v>
      </c>
      <c r="B400" s="89" t="s">
        <v>854</v>
      </c>
      <c r="C400" s="90"/>
      <c r="D400" s="89">
        <f>COUNTIFS(EQUIPAMENTOS!$A:$A,A400,EQUIPAMENTOS!$F:$F,"&lt;&gt;FLIPERAMA",EQUIPAMENTOS!$F:$F,"&lt;&gt;VERIFICAR")</f>
        <v>2</v>
      </c>
      <c r="E400" s="89" t="s">
        <v>855</v>
      </c>
      <c r="F400" s="89" t="s">
        <v>2226</v>
      </c>
      <c r="G400" s="89">
        <f>VLOOKUP(F400,PACOTES!B:E,4,FALSE)</f>
        <v>0</v>
      </c>
      <c r="H400" s="89"/>
    </row>
    <row r="401" spans="1:8" ht="15.75" hidden="1">
      <c r="A401" s="95">
        <v>401</v>
      </c>
      <c r="B401" s="89" t="s">
        <v>856</v>
      </c>
      <c r="C401" s="90"/>
      <c r="D401" s="89">
        <f>COUNTIFS(EQUIPAMENTOS!$A:$A,A401,EQUIPAMENTOS!$F:$F,"&lt;&gt;FLIPERAMA",EQUIPAMENTOS!$F:$F,"&lt;&gt;VERIFICAR")</f>
        <v>1</v>
      </c>
      <c r="E401" s="89" t="s">
        <v>857</v>
      </c>
      <c r="F401" s="89" t="s">
        <v>2218</v>
      </c>
      <c r="G401" s="89">
        <f>VLOOKUP(F401,PACOTES!B:E,4,FALSE)</f>
        <v>8</v>
      </c>
      <c r="H401" s="89"/>
    </row>
    <row r="402" spans="1:8" ht="15.75" hidden="1">
      <c r="A402" s="95">
        <v>402</v>
      </c>
      <c r="B402" s="89" t="s">
        <v>858</v>
      </c>
      <c r="C402" s="90"/>
      <c r="D402" s="89">
        <f>COUNTIFS(EQUIPAMENTOS!$A:$A,A402,EQUIPAMENTOS!$F:$F,"&lt;&gt;FLIPERAMA",EQUIPAMENTOS!$F:$F,"&lt;&gt;VERIFICAR")</f>
        <v>1</v>
      </c>
      <c r="E402" s="89" t="s">
        <v>859</v>
      </c>
      <c r="F402" s="89" t="s">
        <v>2222</v>
      </c>
      <c r="G402" s="89">
        <f>VLOOKUP(F402,PACOTES!B:E,4,FALSE)</f>
        <v>4</v>
      </c>
      <c r="H402" s="89"/>
    </row>
    <row r="403" spans="1:8" ht="15.75" hidden="1">
      <c r="A403" s="95">
        <v>403</v>
      </c>
      <c r="B403" s="89" t="s">
        <v>860</v>
      </c>
      <c r="C403" s="90"/>
      <c r="D403" s="89">
        <f>COUNTIFS(EQUIPAMENTOS!$A:$A,A403,EQUIPAMENTOS!$F:$F,"&lt;&gt;FLIPERAMA",EQUIPAMENTOS!$F:$F,"&lt;&gt;VERIFICAR")</f>
        <v>1</v>
      </c>
      <c r="E403" s="89" t="s">
        <v>861</v>
      </c>
      <c r="F403" s="89" t="s">
        <v>2225</v>
      </c>
      <c r="G403" s="89">
        <f>VLOOKUP(F403,PACOTES!B:E,4,FALSE)</f>
        <v>1</v>
      </c>
      <c r="H403" s="89"/>
    </row>
    <row r="404" spans="1:8" ht="15.75" hidden="1">
      <c r="A404" s="95">
        <v>404</v>
      </c>
      <c r="B404" s="89" t="s">
        <v>862</v>
      </c>
      <c r="C404" s="90"/>
      <c r="D404" s="89">
        <f>COUNTIFS(EQUIPAMENTOS!$A:$A,A404,EQUIPAMENTOS!$F:$F,"&lt;&gt;FLIPERAMA",EQUIPAMENTOS!$F:$F,"&lt;&gt;VERIFICAR")</f>
        <v>1</v>
      </c>
      <c r="E404" s="89" t="s">
        <v>863</v>
      </c>
      <c r="F404" s="89" t="s">
        <v>2218</v>
      </c>
      <c r="G404" s="89">
        <f>VLOOKUP(F404,PACOTES!B:E,4,FALSE)</f>
        <v>8</v>
      </c>
      <c r="H404" s="89"/>
    </row>
    <row r="405" spans="1:8" ht="15.75" hidden="1">
      <c r="A405" s="95">
        <v>405</v>
      </c>
      <c r="B405" s="89" t="s">
        <v>864</v>
      </c>
      <c r="C405" s="90"/>
      <c r="D405" s="89">
        <f>COUNTIFS(EQUIPAMENTOS!$A:$A,A405,EQUIPAMENTOS!$F:$F,"&lt;&gt;FLIPERAMA",EQUIPAMENTOS!$F:$F,"&lt;&gt;VERIFICAR")</f>
        <v>1</v>
      </c>
      <c r="E405" s="89" t="s">
        <v>865</v>
      </c>
      <c r="F405" s="89" t="s">
        <v>2217</v>
      </c>
      <c r="G405" s="89">
        <f>VLOOKUP(F405,PACOTES!B:E,4,FALSE)</f>
        <v>9</v>
      </c>
      <c r="H405" s="89"/>
    </row>
    <row r="406" spans="1:8" ht="15.75" hidden="1">
      <c r="A406" s="95">
        <v>406</v>
      </c>
      <c r="B406" s="89" t="s">
        <v>866</v>
      </c>
      <c r="C406" s="90"/>
      <c r="D406" s="89">
        <f>COUNTIFS(EQUIPAMENTOS!$A:$A,A406,EQUIPAMENTOS!$F:$F,"&lt;&gt;FLIPERAMA",EQUIPAMENTOS!$F:$F,"&lt;&gt;VERIFICAR")</f>
        <v>1</v>
      </c>
      <c r="E406" s="89" t="s">
        <v>867</v>
      </c>
      <c r="F406" s="89" t="s">
        <v>2218</v>
      </c>
      <c r="G406" s="89">
        <f>VLOOKUP(F406,PACOTES!B:E,4,FALSE)</f>
        <v>8</v>
      </c>
      <c r="H406" s="89"/>
    </row>
    <row r="407" spans="1:8" ht="15.75" hidden="1">
      <c r="A407" s="95">
        <v>407</v>
      </c>
      <c r="B407" s="89" t="s">
        <v>868</v>
      </c>
      <c r="C407" s="90" t="s">
        <v>869</v>
      </c>
      <c r="D407" s="89">
        <f>COUNTIFS(EQUIPAMENTOS!$A:$A,A407,EQUIPAMENTOS!$F:$F,"&lt;&gt;FLIPERAMA",EQUIPAMENTOS!$F:$F,"&lt;&gt;VERIFICAR")</f>
        <v>2</v>
      </c>
      <c r="E407" s="89">
        <v>22988160039</v>
      </c>
      <c r="F407" s="89" t="s">
        <v>2226</v>
      </c>
      <c r="G407" s="89">
        <f>VLOOKUP(F407,PACOTES!B:E,4,FALSE)</f>
        <v>0</v>
      </c>
      <c r="H407" s="89" t="s">
        <v>134</v>
      </c>
    </row>
    <row r="408" spans="1:8" ht="15.75" hidden="1">
      <c r="A408" s="95">
        <v>408</v>
      </c>
      <c r="B408" s="89" t="s">
        <v>870</v>
      </c>
      <c r="C408" s="90"/>
      <c r="D408" s="89">
        <f>COUNTIFS(EQUIPAMENTOS!$A:$A,A408,EQUIPAMENTOS!$F:$F,"&lt;&gt;FLIPERAMA",EQUIPAMENTOS!$F:$F,"&lt;&gt;VERIFICAR")</f>
        <v>1</v>
      </c>
      <c r="E408" s="89" t="s">
        <v>871</v>
      </c>
      <c r="F408" s="89" t="s">
        <v>2221</v>
      </c>
      <c r="G408" s="89">
        <f>VLOOKUP(F408,PACOTES!B:E,4,FALSE)</f>
        <v>5</v>
      </c>
      <c r="H408" s="89"/>
    </row>
    <row r="409" spans="1:8" ht="15.75" hidden="1">
      <c r="A409" s="95">
        <v>409</v>
      </c>
      <c r="B409" s="89" t="s">
        <v>872</v>
      </c>
      <c r="C409" s="90"/>
      <c r="D409" s="89">
        <f>COUNTIFS(EQUIPAMENTOS!$A:$A,A409,EQUIPAMENTOS!$F:$F,"&lt;&gt;FLIPERAMA",EQUIPAMENTOS!$F:$F,"&lt;&gt;VERIFICAR")</f>
        <v>1</v>
      </c>
      <c r="E409" s="89" t="s">
        <v>873</v>
      </c>
      <c r="F409" s="89" t="s">
        <v>2222</v>
      </c>
      <c r="G409" s="89">
        <f>VLOOKUP(F409,PACOTES!B:E,4,FALSE)</f>
        <v>4</v>
      </c>
      <c r="H409" s="89"/>
    </row>
    <row r="410" spans="1:8" ht="15.75" hidden="1">
      <c r="A410" s="95">
        <v>410</v>
      </c>
      <c r="B410" s="89" t="s">
        <v>874</v>
      </c>
      <c r="C410" s="90"/>
      <c r="D410" s="89">
        <f>COUNTIFS(EQUIPAMENTOS!$A:$A,A410,EQUIPAMENTOS!$F:$F,"&lt;&gt;FLIPERAMA",EQUIPAMENTOS!$F:$F,"&lt;&gt;VERIFICAR")</f>
        <v>1</v>
      </c>
      <c r="E410" s="89" t="s">
        <v>875</v>
      </c>
      <c r="F410" s="89" t="s">
        <v>2217</v>
      </c>
      <c r="G410" s="89">
        <f>VLOOKUP(F410,PACOTES!B:E,4,FALSE)</f>
        <v>9</v>
      </c>
      <c r="H410" s="89"/>
    </row>
    <row r="411" spans="1:8" ht="15.75" hidden="1">
      <c r="A411" s="95">
        <v>411</v>
      </c>
      <c r="B411" s="89" t="s">
        <v>876</v>
      </c>
      <c r="C411" s="90"/>
      <c r="D411" s="89">
        <f>COUNTIFS(EQUIPAMENTOS!$A:$A,A411,EQUIPAMENTOS!$F:$F,"&lt;&gt;FLIPERAMA",EQUIPAMENTOS!$F:$F,"&lt;&gt;VERIFICAR")</f>
        <v>1</v>
      </c>
      <c r="E411" s="89" t="s">
        <v>877</v>
      </c>
      <c r="F411" s="89" t="s">
        <v>2217</v>
      </c>
      <c r="G411" s="89">
        <f>VLOOKUP(F411,PACOTES!B:E,4,FALSE)</f>
        <v>9</v>
      </c>
      <c r="H411" s="89"/>
    </row>
    <row r="412" spans="1:8" ht="15.75" hidden="1">
      <c r="A412" s="95">
        <v>412</v>
      </c>
      <c r="B412" s="89" t="s">
        <v>878</v>
      </c>
      <c r="C412" s="90"/>
      <c r="D412" s="89">
        <f>COUNTIFS(EQUIPAMENTOS!$A:$A,A412,EQUIPAMENTOS!$F:$F,"&lt;&gt;FLIPERAMA",EQUIPAMENTOS!$F:$F,"&lt;&gt;VERIFICAR")</f>
        <v>1</v>
      </c>
      <c r="E412" s="89" t="s">
        <v>879</v>
      </c>
      <c r="F412" s="89" t="s">
        <v>2218</v>
      </c>
      <c r="G412" s="89">
        <f>VLOOKUP(F412,PACOTES!B:E,4,FALSE)</f>
        <v>8</v>
      </c>
      <c r="H412" s="89"/>
    </row>
    <row r="413" spans="1:8" ht="15.75" hidden="1">
      <c r="A413" s="95">
        <v>413</v>
      </c>
      <c r="B413" s="89" t="s">
        <v>880</v>
      </c>
      <c r="C413" s="90"/>
      <c r="D413" s="89">
        <f>COUNTIFS(EQUIPAMENTOS!$A:$A,A413,EQUIPAMENTOS!$F:$F,"&lt;&gt;FLIPERAMA",EQUIPAMENTOS!$F:$F,"&lt;&gt;VERIFICAR")</f>
        <v>1</v>
      </c>
      <c r="E413" s="89" t="s">
        <v>881</v>
      </c>
      <c r="F413" s="89" t="s">
        <v>2217</v>
      </c>
      <c r="G413" s="89">
        <f>VLOOKUP(F413,PACOTES!B:E,4,FALSE)</f>
        <v>9</v>
      </c>
      <c r="H413" s="89"/>
    </row>
    <row r="414" spans="1:8" ht="15.75" hidden="1">
      <c r="A414" s="95">
        <v>414</v>
      </c>
      <c r="B414" s="89" t="s">
        <v>882</v>
      </c>
      <c r="C414" s="90"/>
      <c r="D414" s="89">
        <f>COUNTIFS(EQUIPAMENTOS!$A:$A,A414,EQUIPAMENTOS!$F:$F,"&lt;&gt;FLIPERAMA",EQUIPAMENTOS!$F:$F,"&lt;&gt;VERIFICAR")</f>
        <v>1</v>
      </c>
      <c r="E414" s="89" t="s">
        <v>883</v>
      </c>
      <c r="F414" s="89" t="s">
        <v>2221</v>
      </c>
      <c r="G414" s="89">
        <f>VLOOKUP(F414,PACOTES!B:E,4,FALSE)</f>
        <v>5</v>
      </c>
      <c r="H414" s="89"/>
    </row>
    <row r="415" spans="1:8" ht="15.75" hidden="1">
      <c r="A415" s="95">
        <v>415</v>
      </c>
      <c r="B415" s="89" t="s">
        <v>884</v>
      </c>
      <c r="C415" s="90"/>
      <c r="D415" s="89">
        <f>COUNTIFS(EQUIPAMENTOS!$A:$A,A415,EQUIPAMENTOS!$F:$F,"&lt;&gt;FLIPERAMA",EQUIPAMENTOS!$F:$F,"&lt;&gt;VERIFICAR")</f>
        <v>2</v>
      </c>
      <c r="E415" s="89" t="s">
        <v>885</v>
      </c>
      <c r="F415" s="89" t="s">
        <v>2217</v>
      </c>
      <c r="G415" s="89">
        <f>VLOOKUP(F415,PACOTES!B:E,4,FALSE)</f>
        <v>9</v>
      </c>
      <c r="H415" s="89"/>
    </row>
    <row r="416" spans="1:8" ht="15.75" hidden="1">
      <c r="A416" s="95">
        <v>416</v>
      </c>
      <c r="B416" s="89" t="s">
        <v>886</v>
      </c>
      <c r="C416" s="90"/>
      <c r="D416" s="89">
        <f>COUNTIFS(EQUIPAMENTOS!$A:$A,A416,EQUIPAMENTOS!$F:$F,"&lt;&gt;FLIPERAMA",EQUIPAMENTOS!$F:$F,"&lt;&gt;VERIFICAR")</f>
        <v>1</v>
      </c>
      <c r="E416" s="89" t="s">
        <v>887</v>
      </c>
      <c r="F416" s="89" t="s">
        <v>2221</v>
      </c>
      <c r="G416" s="89">
        <f>VLOOKUP(F416,PACOTES!B:E,4,FALSE)</f>
        <v>5</v>
      </c>
      <c r="H416" s="89"/>
    </row>
    <row r="417" spans="1:8" ht="15.75" hidden="1">
      <c r="A417" s="95">
        <v>417</v>
      </c>
      <c r="B417" s="89" t="s">
        <v>888</v>
      </c>
      <c r="C417" s="90"/>
      <c r="D417" s="89">
        <f>COUNTIFS(EQUIPAMENTOS!$A:$A,A417,EQUIPAMENTOS!$F:$F,"&lt;&gt;FLIPERAMA",EQUIPAMENTOS!$F:$F,"&lt;&gt;VERIFICAR")</f>
        <v>1</v>
      </c>
      <c r="E417" s="89" t="s">
        <v>889</v>
      </c>
      <c r="F417" s="89" t="s">
        <v>2218</v>
      </c>
      <c r="G417" s="89">
        <f>VLOOKUP(F417,PACOTES!B:E,4,FALSE)</f>
        <v>8</v>
      </c>
      <c r="H417" s="89"/>
    </row>
    <row r="418" spans="1:8" ht="15.75" hidden="1">
      <c r="A418" s="95">
        <v>418</v>
      </c>
      <c r="B418" s="89" t="s">
        <v>890</v>
      </c>
      <c r="C418" s="90"/>
      <c r="D418" s="89">
        <f>COUNTIFS(EQUIPAMENTOS!$A:$A,A418,EQUIPAMENTOS!$F:$F,"&lt;&gt;FLIPERAMA",EQUIPAMENTOS!$F:$F,"&lt;&gt;VERIFICAR")</f>
        <v>1</v>
      </c>
      <c r="E418" s="89" t="s">
        <v>891</v>
      </c>
      <c r="F418" s="89" t="s">
        <v>2218</v>
      </c>
      <c r="G418" s="89">
        <f>VLOOKUP(F418,PACOTES!B:E,4,FALSE)</f>
        <v>8</v>
      </c>
      <c r="H418" s="89"/>
    </row>
    <row r="419" spans="1:8" ht="15.75" hidden="1">
      <c r="A419" s="95">
        <v>419</v>
      </c>
      <c r="B419" s="89" t="s">
        <v>892</v>
      </c>
      <c r="C419" s="90"/>
      <c r="D419" s="89">
        <f>COUNTIFS(EQUIPAMENTOS!$A:$A,A419,EQUIPAMENTOS!$F:$F,"&lt;&gt;FLIPERAMA",EQUIPAMENTOS!$F:$F,"&lt;&gt;VERIFICAR")</f>
        <v>1</v>
      </c>
      <c r="E419" s="89" t="s">
        <v>893</v>
      </c>
      <c r="F419" s="89" t="s">
        <v>2222</v>
      </c>
      <c r="G419" s="89">
        <f>VLOOKUP(F419,PACOTES!B:E,4,FALSE)</f>
        <v>4</v>
      </c>
      <c r="H419" s="89"/>
    </row>
    <row r="420" spans="1:8" ht="15.75" hidden="1">
      <c r="A420" s="95">
        <v>420</v>
      </c>
      <c r="B420" s="89" t="s">
        <v>894</v>
      </c>
      <c r="C420" s="90"/>
      <c r="D420" s="89">
        <f>COUNTIFS(EQUIPAMENTOS!$A:$A,A420,EQUIPAMENTOS!$F:$F,"&lt;&gt;FLIPERAMA",EQUIPAMENTOS!$F:$F,"&lt;&gt;VERIFICAR")</f>
        <v>1</v>
      </c>
      <c r="E420" s="89" t="s">
        <v>895</v>
      </c>
      <c r="F420" s="89" t="s">
        <v>2221</v>
      </c>
      <c r="G420" s="89">
        <f>VLOOKUP(F420,PACOTES!B:E,4,FALSE)</f>
        <v>5</v>
      </c>
      <c r="H420" s="89"/>
    </row>
    <row r="421" spans="1:8" ht="15.75" hidden="1">
      <c r="A421" s="95">
        <v>421</v>
      </c>
      <c r="B421" s="89" t="s">
        <v>896</v>
      </c>
      <c r="C421" s="90"/>
      <c r="D421" s="89">
        <f>COUNTIFS(EQUIPAMENTOS!$A:$A,A421,EQUIPAMENTOS!$F:$F,"&lt;&gt;FLIPERAMA",EQUIPAMENTOS!$F:$F,"&lt;&gt;VERIFICAR")</f>
        <v>1</v>
      </c>
      <c r="E421" s="89" t="s">
        <v>897</v>
      </c>
      <c r="F421" s="89" t="s">
        <v>2217</v>
      </c>
      <c r="G421" s="89">
        <f>VLOOKUP(F421,PACOTES!B:E,4,FALSE)</f>
        <v>9</v>
      </c>
      <c r="H421" s="89"/>
    </row>
    <row r="422" spans="1:8" ht="15.75" hidden="1">
      <c r="A422" s="95">
        <v>422</v>
      </c>
      <c r="B422" s="89" t="s">
        <v>898</v>
      </c>
      <c r="C422" s="90"/>
      <c r="D422" s="89">
        <f>COUNTIFS(EQUIPAMENTOS!$A:$A,A422,EQUIPAMENTOS!$F:$F,"&lt;&gt;FLIPERAMA",EQUIPAMENTOS!$F:$F,"&lt;&gt;VERIFICAR")</f>
        <v>1</v>
      </c>
      <c r="E422" s="89" t="s">
        <v>899</v>
      </c>
      <c r="F422" s="89" t="s">
        <v>2222</v>
      </c>
      <c r="G422" s="89">
        <f>VLOOKUP(F422,PACOTES!B:E,4,FALSE)</f>
        <v>4</v>
      </c>
      <c r="H422" s="89"/>
    </row>
    <row r="423" spans="1:8" ht="15.75" hidden="1">
      <c r="A423" s="95">
        <v>423</v>
      </c>
      <c r="B423" s="89" t="s">
        <v>900</v>
      </c>
      <c r="C423" s="90"/>
      <c r="D423" s="89">
        <f>COUNTIFS(EQUIPAMENTOS!$A:$A,A423,EQUIPAMENTOS!$F:$F,"&lt;&gt;FLIPERAMA",EQUIPAMENTOS!$F:$F,"&lt;&gt;VERIFICAR")</f>
        <v>5</v>
      </c>
      <c r="E423" s="89" t="s">
        <v>901</v>
      </c>
      <c r="F423" s="89" t="s">
        <v>2224</v>
      </c>
      <c r="G423" s="89">
        <f>VLOOKUP(F423,PACOTES!B:E,4,FALSE)</f>
        <v>2</v>
      </c>
      <c r="H423" s="89"/>
    </row>
    <row r="424" spans="1:8" ht="15.75" hidden="1">
      <c r="A424" s="95">
        <v>424</v>
      </c>
      <c r="B424" s="89" t="s">
        <v>902</v>
      </c>
      <c r="C424" s="90"/>
      <c r="D424" s="89">
        <f>COUNTIFS(EQUIPAMENTOS!$A:$A,A424,EQUIPAMENTOS!$F:$F,"&lt;&gt;FLIPERAMA",EQUIPAMENTOS!$F:$F,"&lt;&gt;VERIFICAR")</f>
        <v>1</v>
      </c>
      <c r="E424" s="89" t="s">
        <v>903</v>
      </c>
      <c r="F424" s="89" t="s">
        <v>2220</v>
      </c>
      <c r="G424" s="89">
        <f>VLOOKUP(F424,PACOTES!B:E,4,FALSE)</f>
        <v>6</v>
      </c>
      <c r="H424" s="89"/>
    </row>
    <row r="425" spans="1:8" ht="15.75" hidden="1">
      <c r="A425" s="95">
        <v>425</v>
      </c>
      <c r="B425" s="89" t="s">
        <v>904</v>
      </c>
      <c r="C425" s="90"/>
      <c r="D425" s="89">
        <f>COUNTIFS(EQUIPAMENTOS!$A:$A,A425,EQUIPAMENTOS!$F:$F,"&lt;&gt;FLIPERAMA",EQUIPAMENTOS!$F:$F,"&lt;&gt;VERIFICAR")</f>
        <v>2</v>
      </c>
      <c r="E425" s="89" t="s">
        <v>905</v>
      </c>
      <c r="F425" s="89" t="s">
        <v>2218</v>
      </c>
      <c r="G425" s="89">
        <f>VLOOKUP(F425,PACOTES!B:E,4,FALSE)</f>
        <v>8</v>
      </c>
      <c r="H425" s="89"/>
    </row>
    <row r="426" spans="1:8" ht="15.75" hidden="1">
      <c r="A426" s="95">
        <v>426</v>
      </c>
      <c r="B426" s="89" t="s">
        <v>906</v>
      </c>
      <c r="C426" s="90"/>
      <c r="D426" s="89">
        <f>COUNTIFS(EQUIPAMENTOS!$A:$A,A426,EQUIPAMENTOS!$F:$F,"&lt;&gt;FLIPERAMA",EQUIPAMENTOS!$F:$F,"&lt;&gt;VERIFICAR")</f>
        <v>1</v>
      </c>
      <c r="E426" s="89" t="s">
        <v>907</v>
      </c>
      <c r="F426" s="89" t="s">
        <v>2222</v>
      </c>
      <c r="G426" s="89">
        <f>VLOOKUP(F426,PACOTES!B:E,4,FALSE)</f>
        <v>4</v>
      </c>
      <c r="H426" s="89"/>
    </row>
    <row r="427" spans="1:8" ht="15.75" hidden="1">
      <c r="A427" s="95">
        <v>427</v>
      </c>
      <c r="B427" s="89" t="s">
        <v>908</v>
      </c>
      <c r="C427" s="90"/>
      <c r="D427" s="89">
        <f>COUNTIFS(EQUIPAMENTOS!$A:$A,A427,EQUIPAMENTOS!$F:$F,"&lt;&gt;FLIPERAMA",EQUIPAMENTOS!$F:$F,"&lt;&gt;VERIFICAR")</f>
        <v>1</v>
      </c>
      <c r="E427" s="89" t="s">
        <v>909</v>
      </c>
      <c r="F427" s="89" t="s">
        <v>2218</v>
      </c>
      <c r="G427" s="89">
        <f>VLOOKUP(F427,PACOTES!B:E,4,FALSE)</f>
        <v>8</v>
      </c>
      <c r="H427" s="89"/>
    </row>
    <row r="428" spans="1:8" ht="15.75" hidden="1">
      <c r="A428" s="95">
        <v>428</v>
      </c>
      <c r="B428" s="89" t="s">
        <v>910</v>
      </c>
      <c r="C428" s="90"/>
      <c r="D428" s="89">
        <f>COUNTIFS(EQUIPAMENTOS!$A:$A,A428,EQUIPAMENTOS!$F:$F,"&lt;&gt;FLIPERAMA",EQUIPAMENTOS!$F:$F,"&lt;&gt;VERIFICAR")</f>
        <v>6</v>
      </c>
      <c r="E428" s="89" t="s">
        <v>911</v>
      </c>
      <c r="F428" s="89" t="s">
        <v>2225</v>
      </c>
      <c r="G428" s="89">
        <f>VLOOKUP(F428,PACOTES!B:E,4,FALSE)</f>
        <v>1</v>
      </c>
      <c r="H428" s="89"/>
    </row>
    <row r="429" spans="1:8" ht="15.75" hidden="1">
      <c r="A429" s="95">
        <v>429</v>
      </c>
      <c r="B429" s="89" t="s">
        <v>912</v>
      </c>
      <c r="C429" s="90"/>
      <c r="D429" s="89">
        <f>COUNTIFS(EQUIPAMENTOS!$A:$A,A429,EQUIPAMENTOS!$F:$F,"&lt;&gt;FLIPERAMA",EQUIPAMENTOS!$F:$F,"&lt;&gt;VERIFICAR")</f>
        <v>1</v>
      </c>
      <c r="E429" s="89" t="s">
        <v>913</v>
      </c>
      <c r="F429" s="89" t="s">
        <v>2220</v>
      </c>
      <c r="G429" s="89">
        <f>VLOOKUP(F429,PACOTES!B:E,4,FALSE)</f>
        <v>6</v>
      </c>
      <c r="H429" s="89"/>
    </row>
    <row r="430" spans="1:8" ht="15.75" hidden="1">
      <c r="A430" s="95">
        <v>430</v>
      </c>
      <c r="B430" s="89" t="s">
        <v>914</v>
      </c>
      <c r="C430" s="90"/>
      <c r="D430" s="89">
        <f>COUNTIFS(EQUIPAMENTOS!$A:$A,A430,EQUIPAMENTOS!$F:$F,"&lt;&gt;FLIPERAMA",EQUIPAMENTOS!$F:$F,"&lt;&gt;VERIFICAR")</f>
        <v>1</v>
      </c>
      <c r="E430" s="89" t="s">
        <v>915</v>
      </c>
      <c r="F430" s="89" t="s">
        <v>2225</v>
      </c>
      <c r="G430" s="89">
        <f>VLOOKUP(F430,PACOTES!B:E,4,FALSE)</f>
        <v>1</v>
      </c>
      <c r="H430" s="89"/>
    </row>
    <row r="431" spans="1:8" ht="15.75" hidden="1">
      <c r="A431" s="95">
        <v>431</v>
      </c>
      <c r="B431" s="89" t="s">
        <v>916</v>
      </c>
      <c r="C431" s="90"/>
      <c r="D431" s="89">
        <f>COUNTIFS(EQUIPAMENTOS!$A:$A,A431,EQUIPAMENTOS!$F:$F,"&lt;&gt;FLIPERAMA",EQUIPAMENTOS!$F:$F,"&lt;&gt;VERIFICAR")</f>
        <v>1</v>
      </c>
      <c r="E431" s="89" t="s">
        <v>917</v>
      </c>
      <c r="F431" s="89" t="s">
        <v>2221</v>
      </c>
      <c r="G431" s="89">
        <f>VLOOKUP(F431,PACOTES!B:E,4,FALSE)</f>
        <v>5</v>
      </c>
      <c r="H431" s="89"/>
    </row>
    <row r="432" spans="1:8" ht="15.75" hidden="1">
      <c r="A432" s="95">
        <v>432</v>
      </c>
      <c r="B432" s="89" t="s">
        <v>918</v>
      </c>
      <c r="C432" s="90"/>
      <c r="D432" s="89">
        <f>COUNTIFS(EQUIPAMENTOS!$A:$A,A432,EQUIPAMENTOS!$F:$F,"&lt;&gt;FLIPERAMA",EQUIPAMENTOS!$F:$F,"&lt;&gt;VERIFICAR")</f>
        <v>1</v>
      </c>
      <c r="E432" s="89" t="s">
        <v>919</v>
      </c>
      <c r="F432" s="89" t="s">
        <v>2220</v>
      </c>
      <c r="G432" s="89">
        <f>VLOOKUP(F432,PACOTES!B:E,4,FALSE)</f>
        <v>6</v>
      </c>
      <c r="H432" s="89"/>
    </row>
    <row r="433" spans="1:8" ht="15.75" hidden="1">
      <c r="A433" s="95">
        <v>433</v>
      </c>
      <c r="B433" s="89" t="s">
        <v>920</v>
      </c>
      <c r="C433" s="90"/>
      <c r="D433" s="89">
        <f>COUNTIFS(EQUIPAMENTOS!$A:$A,A433,EQUIPAMENTOS!$F:$F,"&lt;&gt;FLIPERAMA",EQUIPAMENTOS!$F:$F,"&lt;&gt;VERIFICAR")</f>
        <v>1</v>
      </c>
      <c r="E433" s="89" t="s">
        <v>921</v>
      </c>
      <c r="F433" s="89" t="s">
        <v>2217</v>
      </c>
      <c r="G433" s="89">
        <f>VLOOKUP(F433,PACOTES!B:E,4,FALSE)</f>
        <v>9</v>
      </c>
      <c r="H433" s="89"/>
    </row>
    <row r="434" spans="1:8" ht="15.75" hidden="1">
      <c r="A434" s="95">
        <v>434</v>
      </c>
      <c r="B434" s="89" t="s">
        <v>922</v>
      </c>
      <c r="C434" s="90"/>
      <c r="D434" s="89">
        <f>COUNTIFS(EQUIPAMENTOS!$A:$A,A434,EQUIPAMENTOS!$F:$F,"&lt;&gt;FLIPERAMA",EQUIPAMENTOS!$F:$F,"&lt;&gt;VERIFICAR")</f>
        <v>2</v>
      </c>
      <c r="E434" s="89" t="s">
        <v>923</v>
      </c>
      <c r="F434" s="89" t="s">
        <v>2222</v>
      </c>
      <c r="G434" s="89">
        <f>VLOOKUP(F434,PACOTES!B:E,4,FALSE)</f>
        <v>4</v>
      </c>
      <c r="H434" s="89"/>
    </row>
    <row r="435" spans="1:8" ht="15.75" hidden="1">
      <c r="A435" s="95">
        <v>435</v>
      </c>
      <c r="B435" s="89" t="s">
        <v>924</v>
      </c>
      <c r="C435" s="90"/>
      <c r="D435" s="89">
        <f>COUNTIFS(EQUIPAMENTOS!$A:$A,A435,EQUIPAMENTOS!$F:$F,"&lt;&gt;FLIPERAMA",EQUIPAMENTOS!$F:$F,"&lt;&gt;VERIFICAR")</f>
        <v>1</v>
      </c>
      <c r="E435" s="89" t="s">
        <v>925</v>
      </c>
      <c r="F435" s="89" t="s">
        <v>2221</v>
      </c>
      <c r="G435" s="89">
        <f>VLOOKUP(F435,PACOTES!B:E,4,FALSE)</f>
        <v>5</v>
      </c>
      <c r="H435" s="89"/>
    </row>
    <row r="436" spans="1:8" ht="15.75" hidden="1">
      <c r="A436" s="95">
        <v>436</v>
      </c>
      <c r="B436" s="89" t="s">
        <v>926</v>
      </c>
      <c r="C436" s="90"/>
      <c r="D436" s="89">
        <f>COUNTIFS(EQUIPAMENTOS!$A:$A,A436,EQUIPAMENTOS!$F:$F,"&lt;&gt;FLIPERAMA",EQUIPAMENTOS!$F:$F,"&lt;&gt;VERIFICAR")</f>
        <v>1</v>
      </c>
      <c r="E436" s="89" t="s">
        <v>927</v>
      </c>
      <c r="F436" s="89" t="s">
        <v>2217</v>
      </c>
      <c r="G436" s="89">
        <f>VLOOKUP(F436,PACOTES!B:E,4,FALSE)</f>
        <v>9</v>
      </c>
      <c r="H436" s="89"/>
    </row>
    <row r="437" spans="1:8" ht="15.75" hidden="1">
      <c r="A437" s="95">
        <v>437</v>
      </c>
      <c r="B437" s="89" t="s">
        <v>928</v>
      </c>
      <c r="C437" s="90"/>
      <c r="D437" s="89">
        <f>COUNTIFS(EQUIPAMENTOS!$A:$A,A437,EQUIPAMENTOS!$F:$F,"&lt;&gt;FLIPERAMA",EQUIPAMENTOS!$F:$F,"&lt;&gt;VERIFICAR")</f>
        <v>1</v>
      </c>
      <c r="E437" s="89" t="s">
        <v>929</v>
      </c>
      <c r="F437" s="89" t="s">
        <v>2220</v>
      </c>
      <c r="G437" s="89">
        <f>VLOOKUP(F437,PACOTES!B:E,4,FALSE)</f>
        <v>6</v>
      </c>
      <c r="H437" s="89"/>
    </row>
    <row r="438" spans="1:8" ht="15.75" hidden="1">
      <c r="A438" s="95">
        <v>438</v>
      </c>
      <c r="B438" s="89" t="s">
        <v>930</v>
      </c>
      <c r="C438" s="90"/>
      <c r="D438" s="89">
        <f>COUNTIFS(EQUIPAMENTOS!$A:$A,A438,EQUIPAMENTOS!$F:$F,"&lt;&gt;FLIPERAMA",EQUIPAMENTOS!$F:$F,"&lt;&gt;VERIFICAR")</f>
        <v>1</v>
      </c>
      <c r="E438" s="89" t="s">
        <v>931</v>
      </c>
      <c r="F438" s="89" t="s">
        <v>2221</v>
      </c>
      <c r="G438" s="89">
        <f>VLOOKUP(F438,PACOTES!B:E,4,FALSE)</f>
        <v>5</v>
      </c>
      <c r="H438" s="89"/>
    </row>
    <row r="439" spans="1:8" ht="15.75" hidden="1">
      <c r="A439" s="95">
        <v>439</v>
      </c>
      <c r="B439" s="89" t="s">
        <v>932</v>
      </c>
      <c r="C439" s="90"/>
      <c r="D439" s="89">
        <f>COUNTIFS(EQUIPAMENTOS!$A:$A,A439,EQUIPAMENTOS!$F:$F,"&lt;&gt;FLIPERAMA",EQUIPAMENTOS!$F:$F,"&lt;&gt;VERIFICAR")</f>
        <v>1</v>
      </c>
      <c r="E439" s="89" t="s">
        <v>933</v>
      </c>
      <c r="F439" s="89" t="s">
        <v>2222</v>
      </c>
      <c r="G439" s="89">
        <f>VLOOKUP(F439,PACOTES!B:E,4,FALSE)</f>
        <v>4</v>
      </c>
      <c r="H439" s="89"/>
    </row>
    <row r="440" spans="1:8" ht="15.75" hidden="1">
      <c r="A440" s="95">
        <v>440</v>
      </c>
      <c r="B440" s="89" t="s">
        <v>934</v>
      </c>
      <c r="C440" s="90"/>
      <c r="D440" s="89">
        <f>COUNTIFS(EQUIPAMENTOS!$A:$A,A440,EQUIPAMENTOS!$F:$F,"&lt;&gt;FLIPERAMA",EQUIPAMENTOS!$F:$F,"&lt;&gt;VERIFICAR")</f>
        <v>1</v>
      </c>
      <c r="E440" s="89" t="s">
        <v>935</v>
      </c>
      <c r="F440" s="89" t="s">
        <v>2221</v>
      </c>
      <c r="G440" s="89">
        <f>VLOOKUP(F440,PACOTES!B:E,4,FALSE)</f>
        <v>5</v>
      </c>
      <c r="H440" s="89"/>
    </row>
    <row r="441" spans="1:8" ht="15.75" hidden="1">
      <c r="A441" s="95">
        <v>441</v>
      </c>
      <c r="B441" s="89" t="s">
        <v>936</v>
      </c>
      <c r="C441" s="90"/>
      <c r="D441" s="89">
        <f>COUNTIFS(EQUIPAMENTOS!$A:$A,A441,EQUIPAMENTOS!$F:$F,"&lt;&gt;FLIPERAMA",EQUIPAMENTOS!$F:$F,"&lt;&gt;VERIFICAR")</f>
        <v>1</v>
      </c>
      <c r="E441" s="89" t="s">
        <v>937</v>
      </c>
      <c r="F441" s="89" t="s">
        <v>2218</v>
      </c>
      <c r="G441" s="89">
        <f>VLOOKUP(F441,PACOTES!B:E,4,FALSE)</f>
        <v>8</v>
      </c>
      <c r="H441" s="89"/>
    </row>
    <row r="442" spans="1:8" ht="15.75" hidden="1">
      <c r="A442" s="95">
        <v>442</v>
      </c>
      <c r="B442" s="89" t="s">
        <v>938</v>
      </c>
      <c r="C442" s="90"/>
      <c r="D442" s="89">
        <f>COUNTIFS(EQUIPAMENTOS!$A:$A,A442,EQUIPAMENTOS!$F:$F,"&lt;&gt;FLIPERAMA",EQUIPAMENTOS!$F:$F,"&lt;&gt;VERIFICAR")</f>
        <v>1</v>
      </c>
      <c r="E442" s="89" t="s">
        <v>939</v>
      </c>
      <c r="F442" s="89" t="s">
        <v>2221</v>
      </c>
      <c r="G442" s="89">
        <f>VLOOKUP(F442,PACOTES!B:E,4,FALSE)</f>
        <v>5</v>
      </c>
      <c r="H442" s="89"/>
    </row>
    <row r="443" spans="1:8" ht="15.75" hidden="1">
      <c r="A443" s="95">
        <v>443</v>
      </c>
      <c r="B443" s="89" t="s">
        <v>940</v>
      </c>
      <c r="C443" s="90"/>
      <c r="D443" s="89">
        <f>COUNTIFS(EQUIPAMENTOS!$A:$A,A443,EQUIPAMENTOS!$F:$F,"&lt;&gt;FLIPERAMA",EQUIPAMENTOS!$F:$F,"&lt;&gt;VERIFICAR")</f>
        <v>1</v>
      </c>
      <c r="E443" s="89" t="s">
        <v>941</v>
      </c>
      <c r="F443" s="89" t="s">
        <v>2220</v>
      </c>
      <c r="G443" s="89">
        <f>VLOOKUP(F443,PACOTES!B:E,4,FALSE)</f>
        <v>6</v>
      </c>
      <c r="H443" s="89"/>
    </row>
    <row r="444" spans="1:8" ht="15.75" hidden="1">
      <c r="A444" s="95">
        <v>444</v>
      </c>
      <c r="B444" s="89" t="s">
        <v>942</v>
      </c>
      <c r="C444" s="90"/>
      <c r="D444" s="89">
        <f>COUNTIFS(EQUIPAMENTOS!$A:$A,A444,EQUIPAMENTOS!$F:$F,"&lt;&gt;FLIPERAMA",EQUIPAMENTOS!$F:$F,"&lt;&gt;VERIFICAR")</f>
        <v>1</v>
      </c>
      <c r="E444" s="89" t="s">
        <v>943</v>
      </c>
      <c r="F444" s="89" t="s">
        <v>2221</v>
      </c>
      <c r="G444" s="89">
        <f>VLOOKUP(F444,PACOTES!B:E,4,FALSE)</f>
        <v>5</v>
      </c>
      <c r="H444" s="89"/>
    </row>
    <row r="445" spans="1:8" ht="15.75" hidden="1">
      <c r="A445" s="95">
        <v>445</v>
      </c>
      <c r="B445" s="89" t="s">
        <v>944</v>
      </c>
      <c r="C445" s="90"/>
      <c r="D445" s="89">
        <f>COUNTIFS(EQUIPAMENTOS!$A:$A,A445,EQUIPAMENTOS!$F:$F,"&lt;&gt;FLIPERAMA",EQUIPAMENTOS!$F:$F,"&lt;&gt;VERIFICAR")</f>
        <v>1</v>
      </c>
      <c r="E445" s="89" t="s">
        <v>945</v>
      </c>
      <c r="F445" s="89" t="s">
        <v>2225</v>
      </c>
      <c r="G445" s="89">
        <f>VLOOKUP(F445,PACOTES!B:E,4,FALSE)</f>
        <v>1</v>
      </c>
      <c r="H445" s="89"/>
    </row>
    <row r="446" spans="1:8" ht="15.75" hidden="1">
      <c r="A446" s="95">
        <v>446</v>
      </c>
      <c r="B446" s="89" t="s">
        <v>946</v>
      </c>
      <c r="C446" s="90"/>
      <c r="D446" s="89">
        <f>COUNTIFS(EQUIPAMENTOS!$A:$A,A446,EQUIPAMENTOS!$F:$F,"&lt;&gt;FLIPERAMA",EQUIPAMENTOS!$F:$F,"&lt;&gt;VERIFICAR")</f>
        <v>1</v>
      </c>
      <c r="E446" s="89" t="s">
        <v>947</v>
      </c>
      <c r="F446" s="89" t="s">
        <v>2223</v>
      </c>
      <c r="G446" s="89">
        <f>VLOOKUP(F446,PACOTES!B:E,4,FALSE)</f>
        <v>3</v>
      </c>
      <c r="H446" s="89"/>
    </row>
    <row r="447" spans="1:8" ht="15.75" hidden="1">
      <c r="A447" s="95">
        <v>447</v>
      </c>
      <c r="B447" s="89" t="s">
        <v>948</v>
      </c>
      <c r="C447" s="90"/>
      <c r="D447" s="89">
        <f>COUNTIFS(EQUIPAMENTOS!$A:$A,A447,EQUIPAMENTOS!$F:$F,"&lt;&gt;FLIPERAMA",EQUIPAMENTOS!$F:$F,"&lt;&gt;VERIFICAR")</f>
        <v>1</v>
      </c>
      <c r="E447" s="89" t="s">
        <v>949</v>
      </c>
      <c r="F447" s="89" t="s">
        <v>2218</v>
      </c>
      <c r="G447" s="89">
        <f>VLOOKUP(F447,PACOTES!B:E,4,FALSE)</f>
        <v>8</v>
      </c>
      <c r="H447" s="89"/>
    </row>
    <row r="448" spans="1:8" ht="15.75" hidden="1">
      <c r="A448" s="95">
        <v>448</v>
      </c>
      <c r="B448" s="89" t="s">
        <v>950</v>
      </c>
      <c r="C448" s="90" t="s">
        <v>951</v>
      </c>
      <c r="D448" s="89">
        <f>COUNTIFS(EQUIPAMENTOS!$A:$A,A448,EQUIPAMENTOS!$F:$F,"&lt;&gt;FLIPERAMA",EQUIPAMENTOS!$F:$F,"&lt;&gt;VERIFICAR")</f>
        <v>1</v>
      </c>
      <c r="E448" s="89">
        <v>21970479920</v>
      </c>
      <c r="F448" s="89" t="s">
        <v>2226</v>
      </c>
      <c r="G448" s="89">
        <f>VLOOKUP(F448,PACOTES!B:E,4,FALSE)</f>
        <v>0</v>
      </c>
      <c r="H448" s="89" t="s">
        <v>134</v>
      </c>
    </row>
    <row r="449" spans="1:8" ht="15.75" hidden="1">
      <c r="A449" s="95">
        <v>449</v>
      </c>
      <c r="B449" s="89" t="s">
        <v>952</v>
      </c>
      <c r="C449" s="90"/>
      <c r="D449" s="89">
        <f>COUNTIFS(EQUIPAMENTOS!$A:$A,A449,EQUIPAMENTOS!$F:$F,"&lt;&gt;FLIPERAMA",EQUIPAMENTOS!$F:$F,"&lt;&gt;VERIFICAR")</f>
        <v>2</v>
      </c>
      <c r="E449" s="89" t="s">
        <v>953</v>
      </c>
      <c r="F449" s="89" t="s">
        <v>2225</v>
      </c>
      <c r="G449" s="89">
        <f>VLOOKUP(F449,PACOTES!B:E,4,FALSE)</f>
        <v>1</v>
      </c>
      <c r="H449" s="89"/>
    </row>
    <row r="450" spans="1:8" ht="15.75" hidden="1">
      <c r="A450" s="95">
        <v>450</v>
      </c>
      <c r="B450" s="89" t="s">
        <v>954</v>
      </c>
      <c r="C450" s="90"/>
      <c r="D450" s="89">
        <f>COUNTIFS(EQUIPAMENTOS!$A:$A,A450,EQUIPAMENTOS!$F:$F,"&lt;&gt;FLIPERAMA",EQUIPAMENTOS!$F:$F,"&lt;&gt;VERIFICAR")</f>
        <v>1</v>
      </c>
      <c r="E450" s="89" t="s">
        <v>955</v>
      </c>
      <c r="F450" s="89" t="s">
        <v>2224</v>
      </c>
      <c r="G450" s="89">
        <f>VLOOKUP(F450,PACOTES!B:E,4,FALSE)</f>
        <v>2</v>
      </c>
      <c r="H450" s="89"/>
    </row>
    <row r="451" spans="1:8" ht="15.75" hidden="1">
      <c r="A451" s="95">
        <v>451</v>
      </c>
      <c r="B451" s="89" t="s">
        <v>956</v>
      </c>
      <c r="C451" s="90"/>
      <c r="D451" s="89">
        <f>COUNTIFS(EQUIPAMENTOS!$A:$A,A451,EQUIPAMENTOS!$F:$F,"&lt;&gt;FLIPERAMA",EQUIPAMENTOS!$F:$F,"&lt;&gt;VERIFICAR")</f>
        <v>1</v>
      </c>
      <c r="E451" s="89" t="s">
        <v>957</v>
      </c>
      <c r="F451" s="89" t="s">
        <v>2216</v>
      </c>
      <c r="G451" s="89">
        <f>VLOOKUP(F451,PACOTES!B:E,4,FALSE)</f>
        <v>10</v>
      </c>
      <c r="H451" s="89"/>
    </row>
    <row r="452" spans="1:8" ht="15.75" hidden="1">
      <c r="A452" s="95">
        <v>452</v>
      </c>
      <c r="B452" s="89" t="s">
        <v>958</v>
      </c>
      <c r="C452" s="90"/>
      <c r="D452" s="89">
        <f>COUNTIFS(EQUIPAMENTOS!$A:$A,A452,EQUIPAMENTOS!$F:$F,"&lt;&gt;FLIPERAMA",EQUIPAMENTOS!$F:$F,"&lt;&gt;VERIFICAR")</f>
        <v>1</v>
      </c>
      <c r="E452" s="89" t="s">
        <v>959</v>
      </c>
      <c r="F452" s="89" t="s">
        <v>2217</v>
      </c>
      <c r="G452" s="89">
        <f>VLOOKUP(F452,PACOTES!B:E,4,FALSE)</f>
        <v>9</v>
      </c>
      <c r="H452" s="89"/>
    </row>
    <row r="453" spans="1:8" ht="15.75" hidden="1">
      <c r="A453" s="95">
        <v>453</v>
      </c>
      <c r="B453" s="89" t="s">
        <v>960</v>
      </c>
      <c r="C453" s="90"/>
      <c r="D453" s="89">
        <f>COUNTIFS(EQUIPAMENTOS!$A:$A,A453,EQUIPAMENTOS!$F:$F,"&lt;&gt;FLIPERAMA",EQUIPAMENTOS!$F:$F,"&lt;&gt;VERIFICAR")</f>
        <v>1</v>
      </c>
      <c r="E453" s="89" t="s">
        <v>961</v>
      </c>
      <c r="F453" s="89" t="s">
        <v>2218</v>
      </c>
      <c r="G453" s="89">
        <f>VLOOKUP(F453,PACOTES!B:E,4,FALSE)</f>
        <v>8</v>
      </c>
      <c r="H453" s="89"/>
    </row>
    <row r="454" spans="1:8" ht="15.75" hidden="1">
      <c r="A454" s="95">
        <v>454</v>
      </c>
      <c r="B454" s="89" t="s">
        <v>962</v>
      </c>
      <c r="C454" s="90"/>
      <c r="D454" s="89">
        <f>COUNTIFS(EQUIPAMENTOS!$A:$A,A454,EQUIPAMENTOS!$F:$F,"&lt;&gt;FLIPERAMA",EQUIPAMENTOS!$F:$F,"&lt;&gt;VERIFICAR")</f>
        <v>1</v>
      </c>
      <c r="E454" s="89" t="s">
        <v>963</v>
      </c>
      <c r="F454" s="89" t="s">
        <v>2219</v>
      </c>
      <c r="G454" s="89">
        <f>VLOOKUP(F454,PACOTES!B:E,4,FALSE)</f>
        <v>7</v>
      </c>
      <c r="H454" s="89"/>
    </row>
    <row r="455" spans="1:8" ht="15.75" hidden="1">
      <c r="A455" s="95">
        <v>455</v>
      </c>
      <c r="B455" s="89" t="s">
        <v>964</v>
      </c>
      <c r="C455" s="90"/>
      <c r="D455" s="89">
        <f>COUNTIFS(EQUIPAMENTOS!$A:$A,A455,EQUIPAMENTOS!$F:$F,"&lt;&gt;FLIPERAMA",EQUIPAMENTOS!$F:$F,"&lt;&gt;VERIFICAR")</f>
        <v>1</v>
      </c>
      <c r="E455" s="89" t="s">
        <v>965</v>
      </c>
      <c r="F455" s="89" t="s">
        <v>2222</v>
      </c>
      <c r="G455" s="89">
        <f>VLOOKUP(F455,PACOTES!B:E,4,FALSE)</f>
        <v>4</v>
      </c>
      <c r="H455" s="89"/>
    </row>
    <row r="456" spans="1:8" ht="15.75" hidden="1">
      <c r="A456" s="95">
        <v>456</v>
      </c>
      <c r="B456" s="89" t="s">
        <v>966</v>
      </c>
      <c r="C456" s="90"/>
      <c r="D456" s="89">
        <f>COUNTIFS(EQUIPAMENTOS!$A:$A,A456,EQUIPAMENTOS!$F:$F,"&lt;&gt;FLIPERAMA",EQUIPAMENTOS!$F:$F,"&lt;&gt;VERIFICAR")</f>
        <v>1</v>
      </c>
      <c r="E456" s="89" t="s">
        <v>967</v>
      </c>
      <c r="F456" s="89" t="s">
        <v>2215</v>
      </c>
      <c r="G456" s="89">
        <f>VLOOKUP(F456,PACOTES!B:E,4,FALSE)</f>
        <v>11</v>
      </c>
      <c r="H456" s="89"/>
    </row>
    <row r="457" spans="1:8" ht="15.75" hidden="1">
      <c r="A457" s="95">
        <v>457</v>
      </c>
      <c r="B457" s="89" t="s">
        <v>968</v>
      </c>
      <c r="C457" s="90"/>
      <c r="D457" s="89">
        <f>COUNTIFS(EQUIPAMENTOS!$A:$A,A457,EQUIPAMENTOS!$F:$F,"&lt;&gt;FLIPERAMA",EQUIPAMENTOS!$F:$F,"&lt;&gt;VERIFICAR")</f>
        <v>1</v>
      </c>
      <c r="E457" s="89" t="s">
        <v>969</v>
      </c>
      <c r="F457" s="89" t="s">
        <v>2220</v>
      </c>
      <c r="G457" s="89">
        <f>VLOOKUP(F457,PACOTES!B:E,4,FALSE)</f>
        <v>6</v>
      </c>
      <c r="H457" s="89"/>
    </row>
    <row r="458" spans="1:8" ht="15.75" hidden="1">
      <c r="A458" s="95">
        <v>458</v>
      </c>
      <c r="B458" s="89" t="s">
        <v>970</v>
      </c>
      <c r="C458" s="90"/>
      <c r="D458" s="89">
        <f>COUNTIFS(EQUIPAMENTOS!$A:$A,A458,EQUIPAMENTOS!$F:$F,"&lt;&gt;FLIPERAMA",EQUIPAMENTOS!$F:$F,"&lt;&gt;VERIFICAR")</f>
        <v>1</v>
      </c>
      <c r="E458" s="89" t="s">
        <v>971</v>
      </c>
      <c r="F458" s="89" t="s">
        <v>2216</v>
      </c>
      <c r="G458" s="89">
        <f>VLOOKUP(F458,PACOTES!B:E,4,FALSE)</f>
        <v>10</v>
      </c>
      <c r="H458" s="89"/>
    </row>
    <row r="459" spans="1:8" ht="15.75" hidden="1">
      <c r="A459" s="95">
        <v>459</v>
      </c>
      <c r="B459" s="89" t="s">
        <v>972</v>
      </c>
      <c r="C459" s="90"/>
      <c r="D459" s="89">
        <f>COUNTIFS(EQUIPAMENTOS!$A:$A,A459,EQUIPAMENTOS!$F:$F,"&lt;&gt;FLIPERAMA",EQUIPAMENTOS!$F:$F,"&lt;&gt;VERIFICAR")</f>
        <v>1</v>
      </c>
      <c r="E459" s="89" t="s">
        <v>973</v>
      </c>
      <c r="F459" s="89" t="s">
        <v>2220</v>
      </c>
      <c r="G459" s="89">
        <f>VLOOKUP(F459,PACOTES!B:E,4,FALSE)</f>
        <v>6</v>
      </c>
      <c r="H459" s="89"/>
    </row>
    <row r="460" spans="1:8" ht="15.75" hidden="1">
      <c r="A460" s="95">
        <v>460</v>
      </c>
      <c r="B460" s="89" t="s">
        <v>974</v>
      </c>
      <c r="C460" s="90"/>
      <c r="D460" s="89">
        <f>COUNTIFS(EQUIPAMENTOS!$A:$A,A460,EQUIPAMENTOS!$F:$F,"&lt;&gt;FLIPERAMA",EQUIPAMENTOS!$F:$F,"&lt;&gt;VERIFICAR")</f>
        <v>1</v>
      </c>
      <c r="E460" s="89" t="s">
        <v>975</v>
      </c>
      <c r="F460" s="89" t="s">
        <v>2216</v>
      </c>
      <c r="G460" s="89">
        <f>VLOOKUP(F460,PACOTES!B:E,4,FALSE)</f>
        <v>10</v>
      </c>
      <c r="H460" s="89"/>
    </row>
    <row r="461" spans="1:8" ht="15.75" hidden="1">
      <c r="A461" s="95">
        <v>461</v>
      </c>
      <c r="B461" s="89" t="s">
        <v>976</v>
      </c>
      <c r="C461" s="90"/>
      <c r="D461" s="89">
        <f>COUNTIFS(EQUIPAMENTOS!$A:$A,A461,EQUIPAMENTOS!$F:$F,"&lt;&gt;FLIPERAMA",EQUIPAMENTOS!$F:$F,"&lt;&gt;VERIFICAR")</f>
        <v>1</v>
      </c>
      <c r="E461" s="89" t="s">
        <v>977</v>
      </c>
      <c r="F461" s="89" t="s">
        <v>2221</v>
      </c>
      <c r="G461" s="89">
        <f>VLOOKUP(F461,PACOTES!B:E,4,FALSE)</f>
        <v>5</v>
      </c>
      <c r="H461" s="89"/>
    </row>
    <row r="462" spans="1:8" ht="15.75" hidden="1">
      <c r="A462" s="95">
        <v>462</v>
      </c>
      <c r="B462" s="89" t="s">
        <v>978</v>
      </c>
      <c r="C462" s="90"/>
      <c r="D462" s="89">
        <f>COUNTIFS(EQUIPAMENTOS!$A:$A,A462,EQUIPAMENTOS!$F:$F,"&lt;&gt;FLIPERAMA",EQUIPAMENTOS!$F:$F,"&lt;&gt;VERIFICAR")</f>
        <v>1</v>
      </c>
      <c r="E462" s="89" t="s">
        <v>979</v>
      </c>
      <c r="F462" s="89" t="s">
        <v>2217</v>
      </c>
      <c r="G462" s="89">
        <f>VLOOKUP(F462,PACOTES!B:E,4,FALSE)</f>
        <v>9</v>
      </c>
      <c r="H462" s="89"/>
    </row>
    <row r="463" spans="1:8" ht="15.75" hidden="1">
      <c r="A463" s="95">
        <v>463</v>
      </c>
      <c r="B463" s="89" t="s">
        <v>980</v>
      </c>
      <c r="C463" s="90"/>
      <c r="D463" s="89">
        <f>COUNTIFS(EQUIPAMENTOS!$A:$A,A463,EQUIPAMENTOS!$F:$F,"&lt;&gt;FLIPERAMA",EQUIPAMENTOS!$F:$F,"&lt;&gt;VERIFICAR")</f>
        <v>1</v>
      </c>
      <c r="E463" s="89" t="s">
        <v>981</v>
      </c>
      <c r="F463" s="89" t="s">
        <v>2217</v>
      </c>
      <c r="G463" s="89">
        <f>VLOOKUP(F463,PACOTES!B:E,4,FALSE)</f>
        <v>9</v>
      </c>
      <c r="H463" s="89"/>
    </row>
    <row r="464" spans="1:8" ht="15.75" hidden="1">
      <c r="A464" s="95">
        <v>464</v>
      </c>
      <c r="B464" s="89" t="s">
        <v>982</v>
      </c>
      <c r="C464" s="90"/>
      <c r="D464" s="89">
        <f>COUNTIFS(EQUIPAMENTOS!$A:$A,A464,EQUIPAMENTOS!$F:$F,"&lt;&gt;FLIPERAMA",EQUIPAMENTOS!$F:$F,"&lt;&gt;VERIFICAR")</f>
        <v>1</v>
      </c>
      <c r="E464" s="89" t="s">
        <v>983</v>
      </c>
      <c r="F464" s="89" t="s">
        <v>2218</v>
      </c>
      <c r="G464" s="89">
        <f>VLOOKUP(F464,PACOTES!B:E,4,FALSE)</f>
        <v>8</v>
      </c>
      <c r="H464" s="89"/>
    </row>
    <row r="465" spans="1:8" ht="15.75" hidden="1">
      <c r="A465" s="95">
        <v>465</v>
      </c>
      <c r="B465" s="89" t="s">
        <v>984</v>
      </c>
      <c r="C465" s="90"/>
      <c r="D465" s="89">
        <f>COUNTIFS(EQUIPAMENTOS!$A:$A,A465,EQUIPAMENTOS!$F:$F,"&lt;&gt;FLIPERAMA",EQUIPAMENTOS!$F:$F,"&lt;&gt;VERIFICAR")</f>
        <v>1</v>
      </c>
      <c r="E465" s="89" t="s">
        <v>985</v>
      </c>
      <c r="F465" s="89" t="s">
        <v>2220</v>
      </c>
      <c r="G465" s="89">
        <f>VLOOKUP(F465,PACOTES!B:E,4,FALSE)</f>
        <v>6</v>
      </c>
      <c r="H465" s="89"/>
    </row>
    <row r="466" spans="1:8" ht="15.75" hidden="1">
      <c r="A466" s="95">
        <v>466</v>
      </c>
      <c r="B466" s="89" t="s">
        <v>986</v>
      </c>
      <c r="C466" s="90"/>
      <c r="D466" s="89">
        <f>COUNTIFS(EQUIPAMENTOS!$A:$A,A466,EQUIPAMENTOS!$F:$F,"&lt;&gt;FLIPERAMA",EQUIPAMENTOS!$F:$F,"&lt;&gt;VERIFICAR")</f>
        <v>1</v>
      </c>
      <c r="E466" s="89" t="s">
        <v>987</v>
      </c>
      <c r="F466" s="89" t="s">
        <v>2224</v>
      </c>
      <c r="G466" s="89">
        <f>VLOOKUP(F466,PACOTES!B:E,4,FALSE)</f>
        <v>2</v>
      </c>
      <c r="H466" s="89"/>
    </row>
    <row r="467" spans="1:8" ht="15.75" hidden="1">
      <c r="A467" s="95">
        <v>467</v>
      </c>
      <c r="B467" s="89" t="s">
        <v>988</v>
      </c>
      <c r="C467" s="90"/>
      <c r="D467" s="89">
        <f>COUNTIFS(EQUIPAMENTOS!$A:$A,A467,EQUIPAMENTOS!$F:$F,"&lt;&gt;FLIPERAMA",EQUIPAMENTOS!$F:$F,"&lt;&gt;VERIFICAR")</f>
        <v>1</v>
      </c>
      <c r="E467" s="89" t="s">
        <v>989</v>
      </c>
      <c r="F467" s="89" t="s">
        <v>2220</v>
      </c>
      <c r="G467" s="89">
        <f>VLOOKUP(F467,PACOTES!B:E,4,FALSE)</f>
        <v>6</v>
      </c>
      <c r="H467" s="89"/>
    </row>
    <row r="468" spans="1:8" ht="15.75" hidden="1">
      <c r="A468" s="95">
        <v>468</v>
      </c>
      <c r="B468" s="89" t="s">
        <v>990</v>
      </c>
      <c r="C468" s="90"/>
      <c r="D468" s="89">
        <f>COUNTIFS(EQUIPAMENTOS!$A:$A,A468,EQUIPAMENTOS!$F:$F,"&lt;&gt;FLIPERAMA",EQUIPAMENTOS!$F:$F,"&lt;&gt;VERIFICAR")</f>
        <v>2</v>
      </c>
      <c r="E468" s="89" t="s">
        <v>991</v>
      </c>
      <c r="F468" s="89" t="s">
        <v>2221</v>
      </c>
      <c r="G468" s="89">
        <f>VLOOKUP(F468,PACOTES!B:E,4,FALSE)</f>
        <v>5</v>
      </c>
      <c r="H468" s="89"/>
    </row>
    <row r="469" spans="1:8" ht="15.75" hidden="1">
      <c r="A469" s="95">
        <v>469</v>
      </c>
      <c r="B469" s="89" t="s">
        <v>992</v>
      </c>
      <c r="C469" s="90"/>
      <c r="D469" s="89">
        <f>COUNTIFS(EQUIPAMENTOS!$A:$A,A469,EQUIPAMENTOS!$F:$F,"&lt;&gt;FLIPERAMA",EQUIPAMENTOS!$F:$F,"&lt;&gt;VERIFICAR")</f>
        <v>1</v>
      </c>
      <c r="E469" s="89" t="s">
        <v>993</v>
      </c>
      <c r="F469" s="89" t="s">
        <v>2218</v>
      </c>
      <c r="G469" s="89">
        <f>VLOOKUP(F469,PACOTES!B:E,4,FALSE)</f>
        <v>8</v>
      </c>
      <c r="H469" s="89"/>
    </row>
    <row r="470" spans="1:8" ht="15.75" hidden="1">
      <c r="A470" s="95">
        <v>470</v>
      </c>
      <c r="B470" s="89" t="s">
        <v>994</v>
      </c>
      <c r="C470" s="90"/>
      <c r="D470" s="89">
        <f>COUNTIFS(EQUIPAMENTOS!$A:$A,A470,EQUIPAMENTOS!$F:$F,"&lt;&gt;FLIPERAMA",EQUIPAMENTOS!$F:$F,"&lt;&gt;VERIFICAR")</f>
        <v>1</v>
      </c>
      <c r="E470" s="89" t="s">
        <v>995</v>
      </c>
      <c r="F470" s="89" t="s">
        <v>2218</v>
      </c>
      <c r="G470" s="89">
        <f>VLOOKUP(F470,PACOTES!B:E,4,FALSE)</f>
        <v>8</v>
      </c>
      <c r="H470" s="89"/>
    </row>
    <row r="471" spans="1:8" ht="15.75" hidden="1">
      <c r="A471" s="95">
        <v>471</v>
      </c>
      <c r="B471" s="89" t="s">
        <v>996</v>
      </c>
      <c r="C471" s="90"/>
      <c r="D471" s="89">
        <f>COUNTIFS(EQUIPAMENTOS!$A:$A,A471,EQUIPAMENTOS!$F:$F,"&lt;&gt;FLIPERAMA",EQUIPAMENTOS!$F:$F,"&lt;&gt;VERIFICAR")</f>
        <v>1</v>
      </c>
      <c r="E471" s="89" t="s">
        <v>997</v>
      </c>
      <c r="F471" s="89" t="s">
        <v>2216</v>
      </c>
      <c r="G471" s="89">
        <f>VLOOKUP(F471,PACOTES!B:E,4,FALSE)</f>
        <v>10</v>
      </c>
      <c r="H471" s="89"/>
    </row>
    <row r="472" spans="1:8" ht="15.75" hidden="1">
      <c r="A472" s="95">
        <v>472</v>
      </c>
      <c r="B472" s="89" t="s">
        <v>998</v>
      </c>
      <c r="C472" s="90"/>
      <c r="D472" s="89">
        <f>COUNTIFS(EQUIPAMENTOS!$A:$A,A472,EQUIPAMENTOS!$F:$F,"&lt;&gt;FLIPERAMA",EQUIPAMENTOS!$F:$F,"&lt;&gt;VERIFICAR")</f>
        <v>1</v>
      </c>
      <c r="E472" s="89" t="s">
        <v>999</v>
      </c>
      <c r="F472" s="89" t="s">
        <v>2220</v>
      </c>
      <c r="G472" s="89">
        <f>VLOOKUP(F472,PACOTES!B:E,4,FALSE)</f>
        <v>6</v>
      </c>
      <c r="H472" s="89"/>
    </row>
    <row r="473" spans="1:8" ht="15.75" hidden="1">
      <c r="A473" s="95">
        <v>473</v>
      </c>
      <c r="B473" s="89" t="s">
        <v>1000</v>
      </c>
      <c r="C473" s="90"/>
      <c r="D473" s="89">
        <f>COUNTIFS(EQUIPAMENTOS!$A:$A,A473,EQUIPAMENTOS!$F:$F,"&lt;&gt;FLIPERAMA",EQUIPAMENTOS!$F:$F,"&lt;&gt;VERIFICAR")</f>
        <v>2</v>
      </c>
      <c r="E473" s="89" t="s">
        <v>1001</v>
      </c>
      <c r="F473" s="89" t="s">
        <v>2218</v>
      </c>
      <c r="G473" s="89">
        <f>VLOOKUP(F473,PACOTES!B:E,4,FALSE)</f>
        <v>8</v>
      </c>
      <c r="H473" s="89"/>
    </row>
    <row r="474" spans="1:8" ht="15.75" hidden="1">
      <c r="A474" s="95">
        <v>474</v>
      </c>
      <c r="B474" s="89" t="s">
        <v>1002</v>
      </c>
      <c r="C474" s="90"/>
      <c r="D474" s="89">
        <f>COUNTIFS(EQUIPAMENTOS!$A:$A,A474,EQUIPAMENTOS!$F:$F,"&lt;&gt;FLIPERAMA",EQUIPAMENTOS!$F:$F,"&lt;&gt;VERIFICAR")</f>
        <v>1</v>
      </c>
      <c r="E474" s="89" t="s">
        <v>1003</v>
      </c>
      <c r="F474" s="89" t="s">
        <v>2217</v>
      </c>
      <c r="G474" s="89">
        <f>VLOOKUP(F474,PACOTES!B:E,4,FALSE)</f>
        <v>9</v>
      </c>
      <c r="H474" s="89"/>
    </row>
    <row r="475" spans="1:8" ht="15.75" hidden="1">
      <c r="A475" s="95">
        <v>475</v>
      </c>
      <c r="B475" s="89" t="s">
        <v>1004</v>
      </c>
      <c r="C475" s="90"/>
      <c r="D475" s="89">
        <f>COUNTIFS(EQUIPAMENTOS!$A:$A,A475,EQUIPAMENTOS!$F:$F,"&lt;&gt;FLIPERAMA",EQUIPAMENTOS!$F:$F,"&lt;&gt;VERIFICAR")</f>
        <v>2</v>
      </c>
      <c r="E475" s="89" t="s">
        <v>1005</v>
      </c>
      <c r="F475" s="89" t="s">
        <v>2217</v>
      </c>
      <c r="G475" s="89">
        <f>VLOOKUP(F475,PACOTES!B:E,4,FALSE)</f>
        <v>9</v>
      </c>
      <c r="H475" s="89"/>
    </row>
    <row r="476" spans="1:8" ht="15.75" hidden="1">
      <c r="A476" s="95">
        <v>476</v>
      </c>
      <c r="B476" s="89" t="s">
        <v>1006</v>
      </c>
      <c r="C476" s="90"/>
      <c r="D476" s="89">
        <f>COUNTIFS(EQUIPAMENTOS!$A:$A,A476,EQUIPAMENTOS!$F:$F,"&lt;&gt;FLIPERAMA",EQUIPAMENTOS!$F:$F,"&lt;&gt;VERIFICAR")</f>
        <v>3</v>
      </c>
      <c r="E476" s="89" t="s">
        <v>1007</v>
      </c>
      <c r="F476" s="89" t="s">
        <v>2218</v>
      </c>
      <c r="G476" s="89">
        <f>VLOOKUP(F476,PACOTES!B:E,4,FALSE)</f>
        <v>8</v>
      </c>
      <c r="H476" s="89"/>
    </row>
    <row r="477" spans="1:8" ht="15.75" hidden="1">
      <c r="A477" s="95">
        <v>477</v>
      </c>
      <c r="B477" s="89" t="s">
        <v>1008</v>
      </c>
      <c r="C477" s="90"/>
      <c r="D477" s="89">
        <f>COUNTIFS(EQUIPAMENTOS!$A:$A,A477,EQUIPAMENTOS!$F:$F,"&lt;&gt;FLIPERAMA",EQUIPAMENTOS!$F:$F,"&lt;&gt;VERIFICAR")</f>
        <v>1</v>
      </c>
      <c r="E477" s="89" t="s">
        <v>1009</v>
      </c>
      <c r="F477" s="89" t="s">
        <v>2218</v>
      </c>
      <c r="G477" s="89">
        <f>VLOOKUP(F477,PACOTES!B:E,4,FALSE)</f>
        <v>8</v>
      </c>
      <c r="H477" s="89"/>
    </row>
    <row r="478" spans="1:8" ht="15.75" hidden="1">
      <c r="A478" s="95">
        <v>478</v>
      </c>
      <c r="B478" s="89" t="s">
        <v>1010</v>
      </c>
      <c r="C478" s="90"/>
      <c r="D478" s="89">
        <f>COUNTIFS(EQUIPAMENTOS!$A:$A,A478,EQUIPAMENTOS!$F:$F,"&lt;&gt;FLIPERAMA",EQUIPAMENTOS!$F:$F,"&lt;&gt;VERIFICAR")</f>
        <v>1</v>
      </c>
      <c r="E478" s="89" t="s">
        <v>1011</v>
      </c>
      <c r="F478" s="89" t="s">
        <v>2220</v>
      </c>
      <c r="G478" s="89">
        <f>VLOOKUP(F478,PACOTES!B:E,4,FALSE)</f>
        <v>6</v>
      </c>
      <c r="H478" s="89"/>
    </row>
    <row r="479" spans="1:8" ht="15.75" hidden="1">
      <c r="A479" s="95">
        <v>479</v>
      </c>
      <c r="B479" s="89" t="s">
        <v>1012</v>
      </c>
      <c r="C479" s="90"/>
      <c r="D479" s="89">
        <f>COUNTIFS(EQUIPAMENTOS!$A:$A,A479,EQUIPAMENTOS!$F:$F,"&lt;&gt;FLIPERAMA",EQUIPAMENTOS!$F:$F,"&lt;&gt;VERIFICAR")</f>
        <v>1</v>
      </c>
      <c r="E479" s="89" t="s">
        <v>1013</v>
      </c>
      <c r="F479" s="89" t="s">
        <v>2225</v>
      </c>
      <c r="G479" s="89">
        <f>VLOOKUP(F479,PACOTES!B:E,4,FALSE)</f>
        <v>1</v>
      </c>
      <c r="H479" s="89"/>
    </row>
    <row r="480" spans="1:8" ht="15.75" hidden="1">
      <c r="A480" s="95">
        <v>480</v>
      </c>
      <c r="B480" s="89" t="s">
        <v>1014</v>
      </c>
      <c r="C480" s="90"/>
      <c r="D480" s="89">
        <f>COUNTIFS(EQUIPAMENTOS!$A:$A,A480,EQUIPAMENTOS!$F:$F,"&lt;&gt;FLIPERAMA",EQUIPAMENTOS!$F:$F,"&lt;&gt;VERIFICAR")</f>
        <v>1</v>
      </c>
      <c r="E480" s="89" t="s">
        <v>1015</v>
      </c>
      <c r="F480" s="89" t="s">
        <v>2220</v>
      </c>
      <c r="G480" s="89">
        <f>VLOOKUP(F480,PACOTES!B:E,4,FALSE)</f>
        <v>6</v>
      </c>
      <c r="H480" s="89"/>
    </row>
    <row r="481" spans="1:8" ht="15.75" hidden="1">
      <c r="A481" s="95">
        <v>481</v>
      </c>
      <c r="B481" s="89" t="s">
        <v>1016</v>
      </c>
      <c r="C481" s="90"/>
      <c r="D481" s="89">
        <f>COUNTIFS(EQUIPAMENTOS!$A:$A,A481,EQUIPAMENTOS!$F:$F,"&lt;&gt;FLIPERAMA",EQUIPAMENTOS!$F:$F,"&lt;&gt;VERIFICAR")</f>
        <v>3</v>
      </c>
      <c r="E481" s="89" t="s">
        <v>1017</v>
      </c>
      <c r="F481" s="89" t="s">
        <v>2224</v>
      </c>
      <c r="G481" s="89">
        <f>VLOOKUP(F481,PACOTES!B:E,4,FALSE)</f>
        <v>2</v>
      </c>
      <c r="H481" s="89"/>
    </row>
    <row r="482" spans="1:8" ht="15.75" hidden="1">
      <c r="A482" s="95">
        <v>482</v>
      </c>
      <c r="B482" s="89" t="s">
        <v>1018</v>
      </c>
      <c r="C482" s="90"/>
      <c r="D482" s="89">
        <f>COUNTIFS(EQUIPAMENTOS!$A:$A,A482,EQUIPAMENTOS!$F:$F,"&lt;&gt;FLIPERAMA",EQUIPAMENTOS!$F:$F,"&lt;&gt;VERIFICAR")</f>
        <v>1</v>
      </c>
      <c r="E482" s="89" t="s">
        <v>1019</v>
      </c>
      <c r="F482" s="89" t="s">
        <v>2223</v>
      </c>
      <c r="G482" s="89">
        <f>VLOOKUP(F482,PACOTES!B:E,4,FALSE)</f>
        <v>3</v>
      </c>
      <c r="H482" s="89"/>
    </row>
    <row r="483" spans="1:8" ht="15.75" hidden="1">
      <c r="A483" s="95">
        <v>483</v>
      </c>
      <c r="B483" s="89" t="s">
        <v>1020</v>
      </c>
      <c r="C483" s="90"/>
      <c r="D483" s="89">
        <f>COUNTIFS(EQUIPAMENTOS!$A:$A,A483,EQUIPAMENTOS!$F:$F,"&lt;&gt;FLIPERAMA",EQUIPAMENTOS!$F:$F,"&lt;&gt;VERIFICAR")</f>
        <v>1</v>
      </c>
      <c r="E483" s="89" t="s">
        <v>1021</v>
      </c>
      <c r="F483" s="89" t="s">
        <v>2226</v>
      </c>
      <c r="G483" s="89">
        <f>VLOOKUP(F483,PACOTES!B:E,4,FALSE)</f>
        <v>0</v>
      </c>
      <c r="H483" s="89"/>
    </row>
    <row r="484" spans="1:8" ht="15.75" hidden="1">
      <c r="A484" s="95">
        <v>484</v>
      </c>
      <c r="B484" s="89" t="s">
        <v>1022</v>
      </c>
      <c r="C484" s="90"/>
      <c r="D484" s="89">
        <f>COUNTIFS(EQUIPAMENTOS!$A:$A,A484,EQUIPAMENTOS!$F:$F,"&lt;&gt;FLIPERAMA",EQUIPAMENTOS!$F:$F,"&lt;&gt;VERIFICAR")</f>
        <v>2</v>
      </c>
      <c r="E484" s="89" t="s">
        <v>1023</v>
      </c>
      <c r="F484" s="89" t="s">
        <v>2217</v>
      </c>
      <c r="G484" s="89">
        <f>VLOOKUP(F484,PACOTES!B:E,4,FALSE)</f>
        <v>9</v>
      </c>
      <c r="H484" s="89"/>
    </row>
    <row r="485" spans="1:8" ht="15.75" hidden="1">
      <c r="A485" s="95">
        <v>485</v>
      </c>
      <c r="B485" s="89" t="s">
        <v>1024</v>
      </c>
      <c r="C485" s="90"/>
      <c r="D485" s="89">
        <f>COUNTIFS(EQUIPAMENTOS!$A:$A,A485,EQUIPAMENTOS!$F:$F,"&lt;&gt;FLIPERAMA",EQUIPAMENTOS!$F:$F,"&lt;&gt;VERIFICAR")</f>
        <v>1</v>
      </c>
      <c r="E485" s="89" t="s">
        <v>1025</v>
      </c>
      <c r="F485" s="89" t="s">
        <v>2218</v>
      </c>
      <c r="G485" s="89">
        <f>VLOOKUP(F485,PACOTES!B:E,4,FALSE)</f>
        <v>8</v>
      </c>
      <c r="H485" s="89"/>
    </row>
    <row r="486" spans="1:8" ht="15.75" hidden="1">
      <c r="A486" s="95">
        <v>486</v>
      </c>
      <c r="B486" s="89" t="s">
        <v>1026</v>
      </c>
      <c r="C486" s="90"/>
      <c r="D486" s="89">
        <f>COUNTIFS(EQUIPAMENTOS!$A:$A,A486,EQUIPAMENTOS!$F:$F,"&lt;&gt;FLIPERAMA",EQUIPAMENTOS!$F:$F,"&lt;&gt;VERIFICAR")</f>
        <v>1</v>
      </c>
      <c r="E486" s="89" t="s">
        <v>1027</v>
      </c>
      <c r="F486" s="89" t="s">
        <v>2222</v>
      </c>
      <c r="G486" s="89">
        <f>VLOOKUP(F486,PACOTES!B:E,4,FALSE)</f>
        <v>4</v>
      </c>
      <c r="H486" s="89"/>
    </row>
    <row r="487" spans="1:8" ht="15.75" hidden="1">
      <c r="A487" s="95">
        <v>487</v>
      </c>
      <c r="B487" s="89" t="s">
        <v>1028</v>
      </c>
      <c r="C487" s="90"/>
      <c r="D487" s="89">
        <f>COUNTIFS(EQUIPAMENTOS!$A:$A,A487,EQUIPAMENTOS!$F:$F,"&lt;&gt;FLIPERAMA",EQUIPAMENTOS!$F:$F,"&lt;&gt;VERIFICAR")</f>
        <v>1</v>
      </c>
      <c r="E487" s="89" t="s">
        <v>1029</v>
      </c>
      <c r="F487" s="89" t="s">
        <v>2220</v>
      </c>
      <c r="G487" s="89">
        <f>VLOOKUP(F487,PACOTES!B:E,4,FALSE)</f>
        <v>6</v>
      </c>
      <c r="H487" s="89"/>
    </row>
    <row r="488" spans="1:8" ht="15.75" hidden="1">
      <c r="A488" s="95">
        <v>488</v>
      </c>
      <c r="B488" s="89" t="s">
        <v>1030</v>
      </c>
      <c r="C488" s="90"/>
      <c r="D488" s="89">
        <f>COUNTIFS(EQUIPAMENTOS!$A:$A,A488,EQUIPAMENTOS!$F:$F,"&lt;&gt;FLIPERAMA",EQUIPAMENTOS!$F:$F,"&lt;&gt;VERIFICAR")</f>
        <v>1</v>
      </c>
      <c r="E488" s="89" t="s">
        <v>1031</v>
      </c>
      <c r="F488" s="89" t="s">
        <v>2222</v>
      </c>
      <c r="G488" s="89">
        <f>VLOOKUP(F488,PACOTES!B:E,4,FALSE)</f>
        <v>4</v>
      </c>
      <c r="H488" s="89"/>
    </row>
    <row r="489" spans="1:8" ht="15.75" hidden="1">
      <c r="A489" s="95">
        <v>489</v>
      </c>
      <c r="B489" s="89" t="s">
        <v>1032</v>
      </c>
      <c r="C489" s="90"/>
      <c r="D489" s="89">
        <f>COUNTIFS(EQUIPAMENTOS!$A:$A,A489,EQUIPAMENTOS!$F:$F,"&lt;&gt;FLIPERAMA",EQUIPAMENTOS!$F:$F,"&lt;&gt;VERIFICAR")</f>
        <v>1</v>
      </c>
      <c r="E489" s="89" t="s">
        <v>1033</v>
      </c>
      <c r="F489" s="89" t="s">
        <v>2221</v>
      </c>
      <c r="G489" s="89">
        <f>VLOOKUP(F489,PACOTES!B:E,4,FALSE)</f>
        <v>5</v>
      </c>
      <c r="H489" s="89"/>
    </row>
    <row r="490" spans="1:8" ht="15.75" hidden="1">
      <c r="A490" s="95">
        <v>490</v>
      </c>
      <c r="B490" s="89" t="s">
        <v>1034</v>
      </c>
      <c r="C490" s="90"/>
      <c r="D490" s="89">
        <f>COUNTIFS(EQUIPAMENTOS!$A:$A,A490,EQUIPAMENTOS!$F:$F,"&lt;&gt;FLIPERAMA",EQUIPAMENTOS!$F:$F,"&lt;&gt;VERIFICAR")</f>
        <v>1</v>
      </c>
      <c r="E490" s="89" t="s">
        <v>1035</v>
      </c>
      <c r="F490" s="89" t="s">
        <v>2218</v>
      </c>
      <c r="G490" s="89">
        <f>VLOOKUP(F490,PACOTES!B:E,4,FALSE)</f>
        <v>8</v>
      </c>
      <c r="H490" s="89"/>
    </row>
    <row r="491" spans="1:8" ht="15.75" hidden="1">
      <c r="A491" s="95">
        <v>491</v>
      </c>
      <c r="B491" s="89" t="s">
        <v>1036</v>
      </c>
      <c r="C491" s="90"/>
      <c r="D491" s="89">
        <f>COUNTIFS(EQUIPAMENTOS!$A:$A,A491,EQUIPAMENTOS!$F:$F,"&lt;&gt;FLIPERAMA",EQUIPAMENTOS!$F:$F,"&lt;&gt;VERIFICAR")</f>
        <v>1</v>
      </c>
      <c r="E491" s="89" t="s">
        <v>1037</v>
      </c>
      <c r="F491" s="89" t="s">
        <v>2218</v>
      </c>
      <c r="G491" s="89">
        <f>VLOOKUP(F491,PACOTES!B:E,4,FALSE)</f>
        <v>8</v>
      </c>
      <c r="H491" s="89"/>
    </row>
    <row r="492" spans="1:8" ht="15.75" hidden="1">
      <c r="A492" s="95">
        <v>492</v>
      </c>
      <c r="B492" s="89" t="s">
        <v>1038</v>
      </c>
      <c r="C492" s="90"/>
      <c r="D492" s="89">
        <f>COUNTIFS(EQUIPAMENTOS!$A:$A,A492,EQUIPAMENTOS!$F:$F,"&lt;&gt;FLIPERAMA",EQUIPAMENTOS!$F:$F,"&lt;&gt;VERIFICAR")</f>
        <v>1</v>
      </c>
      <c r="E492" s="89" t="s">
        <v>1039</v>
      </c>
      <c r="F492" s="89" t="s">
        <v>2221</v>
      </c>
      <c r="G492" s="89">
        <f>VLOOKUP(F492,PACOTES!B:E,4,FALSE)</f>
        <v>5</v>
      </c>
      <c r="H492" s="89"/>
    </row>
    <row r="493" spans="1:8" ht="15.75" hidden="1">
      <c r="A493" s="95">
        <v>493</v>
      </c>
      <c r="B493" s="89" t="s">
        <v>1040</v>
      </c>
      <c r="C493" s="90"/>
      <c r="D493" s="89">
        <f>COUNTIFS(EQUIPAMENTOS!$A:$A,A493,EQUIPAMENTOS!$F:$F,"&lt;&gt;FLIPERAMA",EQUIPAMENTOS!$F:$F,"&lt;&gt;VERIFICAR")</f>
        <v>1</v>
      </c>
      <c r="E493" s="89" t="s">
        <v>1041</v>
      </c>
      <c r="F493" s="89" t="s">
        <v>2218</v>
      </c>
      <c r="G493" s="89">
        <f>VLOOKUP(F493,PACOTES!B:E,4,FALSE)</f>
        <v>8</v>
      </c>
      <c r="H493" s="89"/>
    </row>
    <row r="494" spans="1:8" ht="15.75" hidden="1">
      <c r="A494" s="95">
        <v>494</v>
      </c>
      <c r="B494" s="89" t="s">
        <v>1042</v>
      </c>
      <c r="C494" s="90"/>
      <c r="D494" s="89">
        <f>COUNTIFS(EQUIPAMENTOS!$A:$A,A494,EQUIPAMENTOS!$F:$F,"&lt;&gt;FLIPERAMA",EQUIPAMENTOS!$F:$F,"&lt;&gt;VERIFICAR")</f>
        <v>1</v>
      </c>
      <c r="E494" s="89" t="s">
        <v>1043</v>
      </c>
      <c r="F494" s="89" t="s">
        <v>2222</v>
      </c>
      <c r="G494" s="89">
        <f>VLOOKUP(F494,PACOTES!B:E,4,FALSE)</f>
        <v>4</v>
      </c>
      <c r="H494" s="89"/>
    </row>
    <row r="495" spans="1:8" ht="15.75" hidden="1">
      <c r="A495" s="95">
        <v>495</v>
      </c>
      <c r="B495" s="89" t="s">
        <v>1044</v>
      </c>
      <c r="C495" s="90"/>
      <c r="D495" s="89">
        <f>COUNTIFS(EQUIPAMENTOS!$A:$A,A495,EQUIPAMENTOS!$F:$F,"&lt;&gt;FLIPERAMA",EQUIPAMENTOS!$F:$F,"&lt;&gt;VERIFICAR")</f>
        <v>1</v>
      </c>
      <c r="E495" s="89" t="s">
        <v>1045</v>
      </c>
      <c r="F495" s="89" t="s">
        <v>2220</v>
      </c>
      <c r="G495" s="89">
        <f>VLOOKUP(F495,PACOTES!B:E,4,FALSE)</f>
        <v>6</v>
      </c>
      <c r="H495" s="89"/>
    </row>
    <row r="496" spans="1:8" ht="15.75" hidden="1">
      <c r="A496" s="95">
        <v>496</v>
      </c>
      <c r="B496" s="89" t="s">
        <v>1046</v>
      </c>
      <c r="C496" s="90"/>
      <c r="D496" s="89">
        <f>COUNTIFS(EQUIPAMENTOS!$A:$A,A496,EQUIPAMENTOS!$F:$F,"&lt;&gt;FLIPERAMA",EQUIPAMENTOS!$F:$F,"&lt;&gt;VERIFICAR")</f>
        <v>1</v>
      </c>
      <c r="E496" s="89" t="s">
        <v>1047</v>
      </c>
      <c r="F496" s="89" t="s">
        <v>2218</v>
      </c>
      <c r="G496" s="89">
        <f>VLOOKUP(F496,PACOTES!B:E,4,FALSE)</f>
        <v>8</v>
      </c>
      <c r="H496" s="89"/>
    </row>
    <row r="497" spans="1:8" ht="15.75" hidden="1">
      <c r="A497" s="95">
        <v>497</v>
      </c>
      <c r="B497" s="89" t="s">
        <v>1048</v>
      </c>
      <c r="C497" s="90"/>
      <c r="D497" s="89">
        <f>COUNTIFS(EQUIPAMENTOS!$A:$A,A497,EQUIPAMENTOS!$F:$F,"&lt;&gt;FLIPERAMA",EQUIPAMENTOS!$F:$F,"&lt;&gt;VERIFICAR")</f>
        <v>1</v>
      </c>
      <c r="E497" s="89" t="s">
        <v>1049</v>
      </c>
      <c r="F497" s="89" t="s">
        <v>2215</v>
      </c>
      <c r="G497" s="89">
        <f>VLOOKUP(F497,PACOTES!B:E,4,FALSE)</f>
        <v>11</v>
      </c>
      <c r="H497" s="89"/>
    </row>
    <row r="498" spans="1:8" ht="15.75" hidden="1">
      <c r="A498" s="95">
        <v>498</v>
      </c>
      <c r="B498" s="89" t="s">
        <v>1050</v>
      </c>
      <c r="C498" s="90"/>
      <c r="D498" s="89">
        <f>COUNTIFS(EQUIPAMENTOS!$A:$A,A498,EQUIPAMENTOS!$F:$F,"&lt;&gt;FLIPERAMA",EQUIPAMENTOS!$F:$F,"&lt;&gt;VERIFICAR")</f>
        <v>1</v>
      </c>
      <c r="E498" s="89" t="s">
        <v>1051</v>
      </c>
      <c r="F498" s="89" t="s">
        <v>2224</v>
      </c>
      <c r="G498" s="89">
        <f>VLOOKUP(F498,PACOTES!B:E,4,FALSE)</f>
        <v>2</v>
      </c>
      <c r="H498" s="89"/>
    </row>
    <row r="499" spans="1:8" ht="15.75" hidden="1">
      <c r="A499" s="95">
        <v>499</v>
      </c>
      <c r="B499" s="89" t="s">
        <v>1052</v>
      </c>
      <c r="C499" s="90"/>
      <c r="D499" s="89">
        <f>COUNTIFS(EQUIPAMENTOS!$A:$A,A499,EQUIPAMENTOS!$F:$F,"&lt;&gt;FLIPERAMA",EQUIPAMENTOS!$F:$F,"&lt;&gt;VERIFICAR")</f>
        <v>1</v>
      </c>
      <c r="E499" s="89" t="s">
        <v>1053</v>
      </c>
      <c r="F499" s="89" t="s">
        <v>2216</v>
      </c>
      <c r="G499" s="89">
        <f>VLOOKUP(F499,PACOTES!B:E,4,FALSE)</f>
        <v>10</v>
      </c>
      <c r="H499" s="89"/>
    </row>
    <row r="500" spans="1:8" ht="15.75" hidden="1">
      <c r="A500" s="95">
        <v>500</v>
      </c>
      <c r="B500" s="89" t="s">
        <v>1054</v>
      </c>
      <c r="C500" s="90"/>
      <c r="D500" s="89">
        <f>COUNTIFS(EQUIPAMENTOS!$A:$A,A500,EQUIPAMENTOS!$F:$F,"&lt;&gt;FLIPERAMA",EQUIPAMENTOS!$F:$F,"&lt;&gt;VERIFICAR")</f>
        <v>1</v>
      </c>
      <c r="E500" s="89" t="s">
        <v>1055</v>
      </c>
      <c r="F500" s="89" t="s">
        <v>2216</v>
      </c>
      <c r="G500" s="89">
        <f>VLOOKUP(F500,PACOTES!B:E,4,FALSE)</f>
        <v>10</v>
      </c>
      <c r="H500" s="89"/>
    </row>
    <row r="501" spans="1:8" ht="15.75" hidden="1">
      <c r="A501" s="95">
        <v>501</v>
      </c>
      <c r="B501" s="89" t="s">
        <v>1056</v>
      </c>
      <c r="C501" s="90"/>
      <c r="D501" s="89">
        <f>COUNTIFS(EQUIPAMENTOS!$A:$A,A501,EQUIPAMENTOS!$F:$F,"&lt;&gt;FLIPERAMA",EQUIPAMENTOS!$F:$F,"&lt;&gt;VERIFICAR")</f>
        <v>1</v>
      </c>
      <c r="E501" s="89" t="s">
        <v>1057</v>
      </c>
      <c r="F501" s="89" t="s">
        <v>2225</v>
      </c>
      <c r="G501" s="89">
        <f>VLOOKUP(F501,PACOTES!B:E,4,FALSE)</f>
        <v>1</v>
      </c>
      <c r="H501" s="89"/>
    </row>
    <row r="502" spans="1:8" ht="15.75" hidden="1">
      <c r="A502" s="95">
        <v>502</v>
      </c>
      <c r="B502" s="89" t="s">
        <v>1058</v>
      </c>
      <c r="C502" s="90"/>
      <c r="D502" s="89">
        <f>COUNTIFS(EQUIPAMENTOS!$A:$A,A502,EQUIPAMENTOS!$F:$F,"&lt;&gt;FLIPERAMA",EQUIPAMENTOS!$F:$F,"&lt;&gt;VERIFICAR")</f>
        <v>1</v>
      </c>
      <c r="E502" s="89" t="s">
        <v>1059</v>
      </c>
      <c r="F502" s="89" t="s">
        <v>2224</v>
      </c>
      <c r="G502" s="89">
        <f>VLOOKUP(F502,PACOTES!B:E,4,FALSE)</f>
        <v>2</v>
      </c>
      <c r="H502" s="89"/>
    </row>
    <row r="503" spans="1:8" ht="15.75" hidden="1">
      <c r="A503" s="95">
        <v>503</v>
      </c>
      <c r="B503" s="89" t="s">
        <v>1060</v>
      </c>
      <c r="C503" s="90"/>
      <c r="D503" s="89">
        <f>COUNTIFS(EQUIPAMENTOS!$A:$A,A503,EQUIPAMENTOS!$F:$F,"&lt;&gt;FLIPERAMA",EQUIPAMENTOS!$F:$F,"&lt;&gt;VERIFICAR")</f>
        <v>1</v>
      </c>
      <c r="E503" s="89" t="s">
        <v>1061</v>
      </c>
      <c r="F503" s="89" t="s">
        <v>2218</v>
      </c>
      <c r="G503" s="89">
        <f>VLOOKUP(F503,PACOTES!B:E,4,FALSE)</f>
        <v>8</v>
      </c>
      <c r="H503" s="89"/>
    </row>
    <row r="504" spans="1:8" ht="15.75" hidden="1">
      <c r="A504" s="95">
        <v>504</v>
      </c>
      <c r="B504" s="89" t="s">
        <v>1062</v>
      </c>
      <c r="C504" s="90"/>
      <c r="D504" s="89">
        <f>COUNTIFS(EQUIPAMENTOS!$A:$A,A504,EQUIPAMENTOS!$F:$F,"&lt;&gt;FLIPERAMA",EQUIPAMENTOS!$F:$F,"&lt;&gt;VERIFICAR")</f>
        <v>1</v>
      </c>
      <c r="E504" s="89" t="s">
        <v>1063</v>
      </c>
      <c r="F504" s="89" t="s">
        <v>2220</v>
      </c>
      <c r="G504" s="89">
        <f>VLOOKUP(F504,PACOTES!B:E,4,FALSE)</f>
        <v>6</v>
      </c>
      <c r="H504" s="89"/>
    </row>
    <row r="505" spans="1:8" ht="15.75" hidden="1">
      <c r="A505" s="95">
        <v>505</v>
      </c>
      <c r="B505" s="89" t="s">
        <v>1064</v>
      </c>
      <c r="C505" s="90"/>
      <c r="D505" s="89">
        <f>COUNTIFS(EQUIPAMENTOS!$A:$A,A505,EQUIPAMENTOS!$F:$F,"&lt;&gt;FLIPERAMA",EQUIPAMENTOS!$F:$F,"&lt;&gt;VERIFICAR")</f>
        <v>1</v>
      </c>
      <c r="E505" s="89" t="s">
        <v>1065</v>
      </c>
      <c r="F505" s="89" t="s">
        <v>2218</v>
      </c>
      <c r="G505" s="89">
        <f>VLOOKUP(F505,PACOTES!B:E,4,FALSE)</f>
        <v>8</v>
      </c>
      <c r="H505" s="89"/>
    </row>
    <row r="506" spans="1:8" ht="15.75" hidden="1">
      <c r="A506" s="95">
        <v>506</v>
      </c>
      <c r="B506" s="89" t="s">
        <v>1066</v>
      </c>
      <c r="C506" s="90"/>
      <c r="D506" s="89">
        <f>COUNTIFS(EQUIPAMENTOS!$A:$A,A506,EQUIPAMENTOS!$F:$F,"&lt;&gt;FLIPERAMA",EQUIPAMENTOS!$F:$F,"&lt;&gt;VERIFICAR")</f>
        <v>1</v>
      </c>
      <c r="E506" s="89" t="s">
        <v>1067</v>
      </c>
      <c r="F506" s="89" t="s">
        <v>2217</v>
      </c>
      <c r="G506" s="89">
        <f>VLOOKUP(F506,PACOTES!B:E,4,FALSE)</f>
        <v>9</v>
      </c>
      <c r="H506" s="89"/>
    </row>
    <row r="507" spans="1:8" ht="15.75" hidden="1">
      <c r="A507" s="95">
        <v>507</v>
      </c>
      <c r="B507" s="89" t="s">
        <v>1068</v>
      </c>
      <c r="C507" s="90"/>
      <c r="D507" s="89">
        <f>COUNTIFS(EQUIPAMENTOS!$A:$A,A507,EQUIPAMENTOS!$F:$F,"&lt;&gt;FLIPERAMA",EQUIPAMENTOS!$F:$F,"&lt;&gt;VERIFICAR")</f>
        <v>1</v>
      </c>
      <c r="E507" s="89" t="s">
        <v>1069</v>
      </c>
      <c r="F507" s="89" t="s">
        <v>2218</v>
      </c>
      <c r="G507" s="89">
        <f>VLOOKUP(F507,PACOTES!B:E,4,FALSE)</f>
        <v>8</v>
      </c>
      <c r="H507" s="89"/>
    </row>
    <row r="508" spans="1:8" ht="15.75" hidden="1">
      <c r="A508" s="95">
        <v>508</v>
      </c>
      <c r="B508" s="89" t="s">
        <v>1070</v>
      </c>
      <c r="C508" s="90"/>
      <c r="D508" s="89">
        <f>COUNTIFS(EQUIPAMENTOS!$A:$A,A508,EQUIPAMENTOS!$F:$F,"&lt;&gt;FLIPERAMA",EQUIPAMENTOS!$F:$F,"&lt;&gt;VERIFICAR")</f>
        <v>1</v>
      </c>
      <c r="E508" s="89" t="s">
        <v>1071</v>
      </c>
      <c r="F508" s="89" t="s">
        <v>2217</v>
      </c>
      <c r="G508" s="89">
        <f>VLOOKUP(F508,PACOTES!B:E,4,FALSE)</f>
        <v>9</v>
      </c>
      <c r="H508" s="89"/>
    </row>
    <row r="509" spans="1:8" ht="15.75" hidden="1">
      <c r="A509" s="95">
        <v>509</v>
      </c>
      <c r="B509" s="89" t="s">
        <v>1072</v>
      </c>
      <c r="C509" s="90"/>
      <c r="D509" s="89">
        <f>COUNTIFS(EQUIPAMENTOS!$A:$A,A509,EQUIPAMENTOS!$F:$F,"&lt;&gt;FLIPERAMA",EQUIPAMENTOS!$F:$F,"&lt;&gt;VERIFICAR")</f>
        <v>1</v>
      </c>
      <c r="E509" s="89" t="s">
        <v>1073</v>
      </c>
      <c r="F509" s="89" t="s">
        <v>2219</v>
      </c>
      <c r="G509" s="89">
        <f>VLOOKUP(F509,PACOTES!B:E,4,FALSE)</f>
        <v>7</v>
      </c>
      <c r="H509" s="89"/>
    </row>
    <row r="510" spans="1:8" ht="15.75" hidden="1">
      <c r="A510" s="95">
        <v>510</v>
      </c>
      <c r="B510" s="89" t="s">
        <v>1074</v>
      </c>
      <c r="C510" s="90"/>
      <c r="D510" s="89">
        <f>COUNTIFS(EQUIPAMENTOS!$A:$A,A510,EQUIPAMENTOS!$F:$F,"&lt;&gt;FLIPERAMA",EQUIPAMENTOS!$F:$F,"&lt;&gt;VERIFICAR")</f>
        <v>1</v>
      </c>
      <c r="E510" s="89" t="s">
        <v>1075</v>
      </c>
      <c r="F510" s="89" t="s">
        <v>2225</v>
      </c>
      <c r="G510" s="89">
        <f>VLOOKUP(F510,PACOTES!B:E,4,FALSE)</f>
        <v>1</v>
      </c>
      <c r="H510" s="89"/>
    </row>
    <row r="511" spans="1:8" ht="15.75" hidden="1">
      <c r="A511" s="95">
        <v>511</v>
      </c>
      <c r="B511" s="89" t="s">
        <v>1076</v>
      </c>
      <c r="C511" s="90"/>
      <c r="D511" s="89">
        <f>COUNTIFS(EQUIPAMENTOS!$A:$A,A511,EQUIPAMENTOS!$F:$F,"&lt;&gt;FLIPERAMA",EQUIPAMENTOS!$F:$F,"&lt;&gt;VERIFICAR")</f>
        <v>1</v>
      </c>
      <c r="E511" s="89" t="s">
        <v>1077</v>
      </c>
      <c r="F511" s="89" t="s">
        <v>2222</v>
      </c>
      <c r="G511" s="89">
        <f>VLOOKUP(F511,PACOTES!B:E,4,FALSE)</f>
        <v>4</v>
      </c>
      <c r="H511" s="89"/>
    </row>
    <row r="512" spans="1:8" ht="15.75" hidden="1">
      <c r="A512" s="95">
        <v>512</v>
      </c>
      <c r="B512" s="89" t="s">
        <v>1078</v>
      </c>
      <c r="C512" s="90"/>
      <c r="D512" s="89">
        <f>COUNTIFS(EQUIPAMENTOS!$A:$A,A512,EQUIPAMENTOS!$F:$F,"&lt;&gt;FLIPERAMA",EQUIPAMENTOS!$F:$F,"&lt;&gt;VERIFICAR")</f>
        <v>1</v>
      </c>
      <c r="E512" s="89" t="s">
        <v>1079</v>
      </c>
      <c r="F512" s="89" t="s">
        <v>2223</v>
      </c>
      <c r="G512" s="89">
        <f>VLOOKUP(F512,PACOTES!B:E,4,FALSE)</f>
        <v>3</v>
      </c>
      <c r="H512" s="89"/>
    </row>
    <row r="513" spans="1:8" ht="15.75" hidden="1">
      <c r="A513" s="95">
        <v>513</v>
      </c>
      <c r="B513" s="89" t="s">
        <v>1080</v>
      </c>
      <c r="C513" s="90"/>
      <c r="D513" s="89">
        <f>COUNTIFS(EQUIPAMENTOS!$A:$A,A513,EQUIPAMENTOS!$F:$F,"&lt;&gt;FLIPERAMA",EQUIPAMENTOS!$F:$F,"&lt;&gt;VERIFICAR")</f>
        <v>1</v>
      </c>
      <c r="E513" s="89" t="s">
        <v>1081</v>
      </c>
      <c r="F513" s="89" t="s">
        <v>2216</v>
      </c>
      <c r="G513" s="89">
        <f>VLOOKUP(F513,PACOTES!B:E,4,FALSE)</f>
        <v>10</v>
      </c>
      <c r="H513" s="89"/>
    </row>
    <row r="514" spans="1:8" ht="15.75" hidden="1">
      <c r="A514" s="95">
        <v>514</v>
      </c>
      <c r="B514" s="89" t="s">
        <v>1082</v>
      </c>
      <c r="C514" s="90"/>
      <c r="D514" s="89">
        <f>COUNTIFS(EQUIPAMENTOS!$A:$A,A514,EQUIPAMENTOS!$F:$F,"&lt;&gt;FLIPERAMA",EQUIPAMENTOS!$F:$F,"&lt;&gt;VERIFICAR")</f>
        <v>1</v>
      </c>
      <c r="E514" s="89" t="s">
        <v>1083</v>
      </c>
      <c r="F514" s="89" t="s">
        <v>2220</v>
      </c>
      <c r="G514" s="89">
        <f>VLOOKUP(F514,PACOTES!B:E,4,FALSE)</f>
        <v>6</v>
      </c>
      <c r="H514" s="89"/>
    </row>
    <row r="515" spans="1:8" ht="15.75" hidden="1">
      <c r="A515" s="95">
        <v>515</v>
      </c>
      <c r="B515" s="89" t="s">
        <v>1084</v>
      </c>
      <c r="C515" s="90"/>
      <c r="D515" s="89">
        <f>COUNTIFS(EQUIPAMENTOS!$A:$A,A515,EQUIPAMENTOS!$F:$F,"&lt;&gt;FLIPERAMA",EQUIPAMENTOS!$F:$F,"&lt;&gt;VERIFICAR")</f>
        <v>1</v>
      </c>
      <c r="E515" s="89" t="s">
        <v>1085</v>
      </c>
      <c r="F515" s="89" t="s">
        <v>2220</v>
      </c>
      <c r="G515" s="89">
        <f>VLOOKUP(F515,PACOTES!B:E,4,FALSE)</f>
        <v>6</v>
      </c>
      <c r="H515" s="89"/>
    </row>
    <row r="516" spans="1:8" ht="15.75" hidden="1">
      <c r="A516" s="95">
        <v>516</v>
      </c>
      <c r="B516" s="89" t="s">
        <v>1086</v>
      </c>
      <c r="C516" s="90"/>
      <c r="D516" s="89">
        <f>COUNTIFS(EQUIPAMENTOS!$A:$A,A516,EQUIPAMENTOS!$F:$F,"&lt;&gt;FLIPERAMA",EQUIPAMENTOS!$F:$F,"&lt;&gt;VERIFICAR")</f>
        <v>1</v>
      </c>
      <c r="E516" s="89" t="s">
        <v>1087</v>
      </c>
      <c r="F516" s="89" t="s">
        <v>2225</v>
      </c>
      <c r="G516" s="89">
        <f>VLOOKUP(F516,PACOTES!B:E,4,FALSE)</f>
        <v>1</v>
      </c>
      <c r="H516" s="89"/>
    </row>
    <row r="517" spans="1:8" ht="15.75" hidden="1">
      <c r="A517" s="95">
        <v>517</v>
      </c>
      <c r="B517" s="89" t="s">
        <v>1088</v>
      </c>
      <c r="C517" s="90"/>
      <c r="D517" s="89">
        <f>COUNTIFS(EQUIPAMENTOS!$A:$A,A517,EQUIPAMENTOS!$F:$F,"&lt;&gt;FLIPERAMA",EQUIPAMENTOS!$F:$F,"&lt;&gt;VERIFICAR")</f>
        <v>1</v>
      </c>
      <c r="E517" s="89" t="s">
        <v>1089</v>
      </c>
      <c r="F517" s="89" t="s">
        <v>2218</v>
      </c>
      <c r="G517" s="89">
        <f>VLOOKUP(F517,PACOTES!B:E,4,FALSE)</f>
        <v>8</v>
      </c>
      <c r="H517" s="89"/>
    </row>
    <row r="518" spans="1:8" ht="15.75" hidden="1">
      <c r="A518" s="95">
        <v>518</v>
      </c>
      <c r="B518" s="89" t="s">
        <v>1090</v>
      </c>
      <c r="C518" s="90"/>
      <c r="D518" s="89">
        <f>COUNTIFS(EQUIPAMENTOS!$A:$A,A518,EQUIPAMENTOS!$F:$F,"&lt;&gt;FLIPERAMA",EQUIPAMENTOS!$F:$F,"&lt;&gt;VERIFICAR")</f>
        <v>1</v>
      </c>
      <c r="E518" s="89" t="s">
        <v>1091</v>
      </c>
      <c r="F518" s="89" t="s">
        <v>2221</v>
      </c>
      <c r="G518" s="89">
        <f>VLOOKUP(F518,PACOTES!B:E,4,FALSE)</f>
        <v>5</v>
      </c>
      <c r="H518" s="89"/>
    </row>
    <row r="519" spans="1:8" ht="15.75" hidden="1">
      <c r="A519" s="95">
        <v>519</v>
      </c>
      <c r="B519" s="89" t="s">
        <v>1092</v>
      </c>
      <c r="C519" s="90"/>
      <c r="D519" s="89">
        <f>COUNTIFS(EQUIPAMENTOS!$A:$A,A519,EQUIPAMENTOS!$F:$F,"&lt;&gt;FLIPERAMA",EQUIPAMENTOS!$F:$F,"&lt;&gt;VERIFICAR")</f>
        <v>1</v>
      </c>
      <c r="E519" s="89" t="s">
        <v>1093</v>
      </c>
      <c r="F519" s="89" t="s">
        <v>2220</v>
      </c>
      <c r="G519" s="89">
        <f>VLOOKUP(F519,PACOTES!B:E,4,FALSE)</f>
        <v>6</v>
      </c>
      <c r="H519" s="89"/>
    </row>
    <row r="520" spans="1:8" ht="15.75" hidden="1">
      <c r="A520" s="95">
        <v>520</v>
      </c>
      <c r="B520" s="89" t="s">
        <v>1094</v>
      </c>
      <c r="C520" s="90"/>
      <c r="D520" s="89">
        <f>COUNTIFS(EQUIPAMENTOS!$A:$A,A520,EQUIPAMENTOS!$F:$F,"&lt;&gt;FLIPERAMA",EQUIPAMENTOS!$F:$F,"&lt;&gt;VERIFICAR")</f>
        <v>1</v>
      </c>
      <c r="E520" s="89" t="s">
        <v>1095</v>
      </c>
      <c r="F520" s="89" t="s">
        <v>2215</v>
      </c>
      <c r="G520" s="89">
        <f>VLOOKUP(F520,PACOTES!B:E,4,FALSE)</f>
        <v>11</v>
      </c>
      <c r="H520" s="89"/>
    </row>
    <row r="521" spans="1:8" ht="15.75" hidden="1">
      <c r="A521" s="95">
        <v>521</v>
      </c>
      <c r="B521" s="89" t="s">
        <v>1096</v>
      </c>
      <c r="C521" s="90"/>
      <c r="D521" s="89">
        <f>COUNTIFS(EQUIPAMENTOS!$A:$A,A521,EQUIPAMENTOS!$F:$F,"&lt;&gt;FLIPERAMA",EQUIPAMENTOS!$F:$F,"&lt;&gt;VERIFICAR")</f>
        <v>5</v>
      </c>
      <c r="E521" s="89" t="s">
        <v>1097</v>
      </c>
      <c r="F521" s="89" t="s">
        <v>2226</v>
      </c>
      <c r="G521" s="89">
        <f>VLOOKUP(F521,PACOTES!B:E,4,FALSE)</f>
        <v>0</v>
      </c>
      <c r="H521" s="89"/>
    </row>
    <row r="522" spans="1:8" ht="15.75" hidden="1">
      <c r="A522" s="95">
        <v>522</v>
      </c>
      <c r="B522" s="89" t="s">
        <v>1098</v>
      </c>
      <c r="C522" s="90"/>
      <c r="D522" s="89">
        <f>COUNTIFS(EQUIPAMENTOS!$A:$A,A522,EQUIPAMENTOS!$F:$F,"&lt;&gt;FLIPERAMA",EQUIPAMENTOS!$F:$F,"&lt;&gt;VERIFICAR")</f>
        <v>1</v>
      </c>
      <c r="E522" s="89" t="s">
        <v>1099</v>
      </c>
      <c r="F522" s="89" t="s">
        <v>2221</v>
      </c>
      <c r="G522" s="89">
        <f>VLOOKUP(F522,PACOTES!B:E,4,FALSE)</f>
        <v>5</v>
      </c>
      <c r="H522" s="89"/>
    </row>
    <row r="523" spans="1:8" ht="15.75" hidden="1">
      <c r="A523" s="95">
        <v>523</v>
      </c>
      <c r="B523" s="89" t="s">
        <v>1100</v>
      </c>
      <c r="C523" s="90"/>
      <c r="D523" s="89">
        <f>COUNTIFS(EQUIPAMENTOS!$A:$A,A523,EQUIPAMENTOS!$F:$F,"&lt;&gt;FLIPERAMA",EQUIPAMENTOS!$F:$F,"&lt;&gt;VERIFICAR")</f>
        <v>1</v>
      </c>
      <c r="E523" s="89" t="s">
        <v>1101</v>
      </c>
      <c r="F523" s="89" t="s">
        <v>2216</v>
      </c>
      <c r="G523" s="89">
        <f>VLOOKUP(F523,PACOTES!B:E,4,FALSE)</f>
        <v>10</v>
      </c>
      <c r="H523" s="89"/>
    </row>
    <row r="524" spans="1:8" ht="15.75" hidden="1">
      <c r="A524" s="95">
        <v>524</v>
      </c>
      <c r="B524" s="89" t="s">
        <v>1102</v>
      </c>
      <c r="C524" s="90"/>
      <c r="D524" s="89">
        <f>COUNTIFS(EQUIPAMENTOS!$A:$A,A524,EQUIPAMENTOS!$F:$F,"&lt;&gt;FLIPERAMA",EQUIPAMENTOS!$F:$F,"&lt;&gt;VERIFICAR")</f>
        <v>1</v>
      </c>
      <c r="E524" s="89" t="s">
        <v>1103</v>
      </c>
      <c r="F524" s="89" t="s">
        <v>2216</v>
      </c>
      <c r="G524" s="89">
        <f>VLOOKUP(F524,PACOTES!B:E,4,FALSE)</f>
        <v>10</v>
      </c>
      <c r="H524" s="89"/>
    </row>
    <row r="525" spans="1:8" ht="15.75" hidden="1">
      <c r="A525" s="95">
        <v>525</v>
      </c>
      <c r="B525" s="89" t="s">
        <v>1104</v>
      </c>
      <c r="C525" s="90"/>
      <c r="D525" s="89">
        <f>COUNTIFS(EQUIPAMENTOS!$A:$A,A525,EQUIPAMENTOS!$F:$F,"&lt;&gt;FLIPERAMA",EQUIPAMENTOS!$F:$F,"&lt;&gt;VERIFICAR")</f>
        <v>1</v>
      </c>
      <c r="E525" s="89" t="s">
        <v>1105</v>
      </c>
      <c r="F525" s="89" t="s">
        <v>2218</v>
      </c>
      <c r="G525" s="89">
        <f>VLOOKUP(F525,PACOTES!B:E,4,FALSE)</f>
        <v>8</v>
      </c>
      <c r="H525" s="89"/>
    </row>
    <row r="526" spans="1:8" ht="15.75" hidden="1">
      <c r="A526" s="95">
        <v>526</v>
      </c>
      <c r="B526" s="89" t="s">
        <v>1106</v>
      </c>
      <c r="C526" s="90"/>
      <c r="D526" s="89">
        <f>COUNTIFS(EQUIPAMENTOS!$A:$A,A526,EQUIPAMENTOS!$F:$F,"&lt;&gt;FLIPERAMA",EQUIPAMENTOS!$F:$F,"&lt;&gt;VERIFICAR")</f>
        <v>1</v>
      </c>
      <c r="E526" s="89" t="s">
        <v>1107</v>
      </c>
      <c r="F526" s="89" t="s">
        <v>2217</v>
      </c>
      <c r="G526" s="89">
        <f>VLOOKUP(F526,PACOTES!B:E,4,FALSE)</f>
        <v>9</v>
      </c>
      <c r="H526" s="89"/>
    </row>
    <row r="527" spans="1:8" ht="15.75" hidden="1">
      <c r="A527" s="95">
        <v>527</v>
      </c>
      <c r="B527" s="89" t="s">
        <v>1108</v>
      </c>
      <c r="C527" s="90"/>
      <c r="D527" s="89">
        <f>COUNTIFS(EQUIPAMENTOS!$A:$A,A527,EQUIPAMENTOS!$F:$F,"&lt;&gt;FLIPERAMA",EQUIPAMENTOS!$F:$F,"&lt;&gt;VERIFICAR")</f>
        <v>1</v>
      </c>
      <c r="E527" s="89" t="s">
        <v>1109</v>
      </c>
      <c r="F527" s="89" t="s">
        <v>2218</v>
      </c>
      <c r="G527" s="89">
        <f>VLOOKUP(F527,PACOTES!B:E,4,FALSE)</f>
        <v>8</v>
      </c>
      <c r="H527" s="89"/>
    </row>
    <row r="528" spans="1:8" ht="15.75" hidden="1">
      <c r="A528" s="95">
        <v>528</v>
      </c>
      <c r="B528" s="89" t="s">
        <v>1110</v>
      </c>
      <c r="C528" s="90"/>
      <c r="D528" s="89">
        <f>COUNTIFS(EQUIPAMENTOS!$A:$A,A528,EQUIPAMENTOS!$F:$F,"&lt;&gt;FLIPERAMA",EQUIPAMENTOS!$F:$F,"&lt;&gt;VERIFICAR")</f>
        <v>1</v>
      </c>
      <c r="E528" s="89" t="s">
        <v>1111</v>
      </c>
      <c r="F528" s="89" t="s">
        <v>2218</v>
      </c>
      <c r="G528" s="89">
        <f>VLOOKUP(F528,PACOTES!B:E,4,FALSE)</f>
        <v>8</v>
      </c>
      <c r="H528" s="89"/>
    </row>
    <row r="529" spans="1:8" ht="15.75" hidden="1">
      <c r="A529" s="95">
        <v>529</v>
      </c>
      <c r="B529" s="89" t="s">
        <v>1112</v>
      </c>
      <c r="C529" s="90"/>
      <c r="D529" s="89">
        <f>COUNTIFS(EQUIPAMENTOS!$A:$A,A529,EQUIPAMENTOS!$F:$F,"&lt;&gt;FLIPERAMA",EQUIPAMENTOS!$F:$F,"&lt;&gt;VERIFICAR")</f>
        <v>1</v>
      </c>
      <c r="E529" s="89" t="s">
        <v>1113</v>
      </c>
      <c r="F529" s="89" t="s">
        <v>2224</v>
      </c>
      <c r="G529" s="89">
        <f>VLOOKUP(F529,PACOTES!B:E,4,FALSE)</f>
        <v>2</v>
      </c>
      <c r="H529" s="89"/>
    </row>
    <row r="530" spans="1:8" ht="15.75" hidden="1">
      <c r="A530" s="95">
        <v>530</v>
      </c>
      <c r="B530" s="89" t="s">
        <v>1114</v>
      </c>
      <c r="C530" s="90"/>
      <c r="D530" s="89">
        <f>COUNTIFS(EQUIPAMENTOS!$A:$A,A530,EQUIPAMENTOS!$F:$F,"&lt;&gt;FLIPERAMA",EQUIPAMENTOS!$F:$F,"&lt;&gt;VERIFICAR")</f>
        <v>1</v>
      </c>
      <c r="E530" s="89" t="s">
        <v>1115</v>
      </c>
      <c r="F530" s="89" t="s">
        <v>2216</v>
      </c>
      <c r="G530" s="89">
        <f>VLOOKUP(F530,PACOTES!B:E,4,FALSE)</f>
        <v>10</v>
      </c>
      <c r="H530" s="89"/>
    </row>
    <row r="531" spans="1:8" ht="15.75" hidden="1">
      <c r="A531" s="95">
        <v>531</v>
      </c>
      <c r="B531" s="89" t="s">
        <v>1116</v>
      </c>
      <c r="C531" s="90"/>
      <c r="D531" s="89">
        <f>COUNTIFS(EQUIPAMENTOS!$A:$A,A531,EQUIPAMENTOS!$F:$F,"&lt;&gt;FLIPERAMA",EQUIPAMENTOS!$F:$F,"&lt;&gt;VERIFICAR")</f>
        <v>1</v>
      </c>
      <c r="E531" s="89" t="s">
        <v>1117</v>
      </c>
      <c r="F531" s="89" t="s">
        <v>2218</v>
      </c>
      <c r="G531" s="89">
        <f>VLOOKUP(F531,PACOTES!B:E,4,FALSE)</f>
        <v>8</v>
      </c>
      <c r="H531" s="89"/>
    </row>
    <row r="532" spans="1:8" ht="15.75" hidden="1">
      <c r="A532" s="95">
        <v>532</v>
      </c>
      <c r="B532" s="89" t="s">
        <v>1118</v>
      </c>
      <c r="C532" s="90"/>
      <c r="D532" s="89">
        <f>COUNTIFS(EQUIPAMENTOS!$A:$A,A532,EQUIPAMENTOS!$F:$F,"&lt;&gt;FLIPERAMA",EQUIPAMENTOS!$F:$F,"&lt;&gt;VERIFICAR")</f>
        <v>2</v>
      </c>
      <c r="E532" s="89" t="s">
        <v>1119</v>
      </c>
      <c r="F532" s="89" t="s">
        <v>2218</v>
      </c>
      <c r="G532" s="89">
        <f>VLOOKUP(F532,PACOTES!B:E,4,FALSE)</f>
        <v>8</v>
      </c>
      <c r="H532" s="89"/>
    </row>
    <row r="533" spans="1:8" ht="15.75" hidden="1">
      <c r="A533" s="95">
        <v>533</v>
      </c>
      <c r="B533" s="89" t="s">
        <v>1120</v>
      </c>
      <c r="C533" s="90"/>
      <c r="D533" s="89">
        <f>COUNTIFS(EQUIPAMENTOS!$A:$A,A533,EQUIPAMENTOS!$F:$F,"&lt;&gt;FLIPERAMA",EQUIPAMENTOS!$F:$F,"&lt;&gt;VERIFICAR")</f>
        <v>1</v>
      </c>
      <c r="E533" s="89" t="s">
        <v>1121</v>
      </c>
      <c r="F533" s="89" t="s">
        <v>2217</v>
      </c>
      <c r="G533" s="89">
        <f>VLOOKUP(F533,PACOTES!B:E,4,FALSE)</f>
        <v>9</v>
      </c>
      <c r="H533" s="89"/>
    </row>
    <row r="534" spans="1:8" ht="15.75" hidden="1">
      <c r="A534" s="95">
        <v>534</v>
      </c>
      <c r="B534" s="89" t="s">
        <v>1122</v>
      </c>
      <c r="C534" s="90"/>
      <c r="D534" s="89">
        <f>COUNTIFS(EQUIPAMENTOS!$A:$A,A534,EQUIPAMENTOS!$F:$F,"&lt;&gt;FLIPERAMA",EQUIPAMENTOS!$F:$F,"&lt;&gt;VERIFICAR")</f>
        <v>1</v>
      </c>
      <c r="E534" s="89" t="s">
        <v>1123</v>
      </c>
      <c r="F534" s="89" t="s">
        <v>2221</v>
      </c>
      <c r="G534" s="89">
        <f>VLOOKUP(F534,PACOTES!B:E,4,FALSE)</f>
        <v>5</v>
      </c>
      <c r="H534" s="89"/>
    </row>
    <row r="535" spans="1:8" ht="15.75" hidden="1">
      <c r="A535" s="95">
        <v>535</v>
      </c>
      <c r="B535" s="89" t="s">
        <v>1124</v>
      </c>
      <c r="C535" s="90"/>
      <c r="D535" s="89">
        <f>COUNTIFS(EQUIPAMENTOS!$A:$A,A535,EQUIPAMENTOS!$F:$F,"&lt;&gt;FLIPERAMA",EQUIPAMENTOS!$F:$F,"&lt;&gt;VERIFICAR")</f>
        <v>1</v>
      </c>
      <c r="E535" s="89" t="s">
        <v>1125</v>
      </c>
      <c r="F535" s="89" t="s">
        <v>2220</v>
      </c>
      <c r="G535" s="89">
        <f>VLOOKUP(F535,PACOTES!B:E,4,FALSE)</f>
        <v>6</v>
      </c>
      <c r="H535" s="89"/>
    </row>
    <row r="536" spans="1:8" ht="15.75" hidden="1">
      <c r="A536" s="95">
        <v>536</v>
      </c>
      <c r="B536" s="89" t="s">
        <v>1126</v>
      </c>
      <c r="C536" s="90"/>
      <c r="D536" s="89">
        <f>COUNTIFS(EQUIPAMENTOS!$A:$A,A536,EQUIPAMENTOS!$F:$F,"&lt;&gt;FLIPERAMA",EQUIPAMENTOS!$F:$F,"&lt;&gt;VERIFICAR")</f>
        <v>1</v>
      </c>
      <c r="E536" s="89" t="s">
        <v>1127</v>
      </c>
      <c r="F536" s="89" t="s">
        <v>2220</v>
      </c>
      <c r="G536" s="89">
        <f>VLOOKUP(F536,PACOTES!B:E,4,FALSE)</f>
        <v>6</v>
      </c>
      <c r="H536" s="89"/>
    </row>
    <row r="537" spans="1:8" ht="15.75" hidden="1">
      <c r="A537" s="95">
        <v>537</v>
      </c>
      <c r="B537" s="89" t="s">
        <v>1128</v>
      </c>
      <c r="C537" s="90"/>
      <c r="D537" s="89">
        <f>COUNTIFS(EQUIPAMENTOS!$A:$A,A537,EQUIPAMENTOS!$F:$F,"&lt;&gt;FLIPERAMA",EQUIPAMENTOS!$F:$F,"&lt;&gt;VERIFICAR")</f>
        <v>1</v>
      </c>
      <c r="E537" s="89" t="s">
        <v>1129</v>
      </c>
      <c r="F537" s="89" t="s">
        <v>2223</v>
      </c>
      <c r="G537" s="89">
        <f>VLOOKUP(F537,PACOTES!B:E,4,FALSE)</f>
        <v>3</v>
      </c>
      <c r="H537" s="89"/>
    </row>
    <row r="538" spans="1:8" ht="15.75" hidden="1">
      <c r="A538" s="95">
        <v>538</v>
      </c>
      <c r="B538" s="89" t="s">
        <v>1130</v>
      </c>
      <c r="C538" s="90"/>
      <c r="D538" s="89">
        <f>COUNTIFS(EQUIPAMENTOS!$A:$A,A538,EQUIPAMENTOS!$F:$F,"&lt;&gt;FLIPERAMA",EQUIPAMENTOS!$F:$F,"&lt;&gt;VERIFICAR")</f>
        <v>1</v>
      </c>
      <c r="E538" s="89" t="s">
        <v>1131</v>
      </c>
      <c r="F538" s="89" t="s">
        <v>2218</v>
      </c>
      <c r="G538" s="89">
        <f>VLOOKUP(F538,PACOTES!B:E,4,FALSE)</f>
        <v>8</v>
      </c>
      <c r="H538" s="89"/>
    </row>
    <row r="539" spans="1:8" ht="15.75" hidden="1">
      <c r="A539" s="95">
        <v>539</v>
      </c>
      <c r="B539" s="89" t="s">
        <v>1132</v>
      </c>
      <c r="C539" s="90"/>
      <c r="D539" s="89">
        <f>COUNTIFS(EQUIPAMENTOS!$A:$A,A539,EQUIPAMENTOS!$F:$F,"&lt;&gt;FLIPERAMA",EQUIPAMENTOS!$F:$F,"&lt;&gt;VERIFICAR")</f>
        <v>1</v>
      </c>
      <c r="E539" s="89" t="s">
        <v>1133</v>
      </c>
      <c r="F539" s="89" t="s">
        <v>2221</v>
      </c>
      <c r="G539" s="89">
        <f>VLOOKUP(F539,PACOTES!B:E,4,FALSE)</f>
        <v>5</v>
      </c>
      <c r="H539" s="89"/>
    </row>
    <row r="540" spans="1:8" ht="15.75" hidden="1">
      <c r="A540" s="95">
        <v>540</v>
      </c>
      <c r="B540" s="89" t="s">
        <v>1134</v>
      </c>
      <c r="C540" s="90"/>
      <c r="D540" s="89">
        <f>COUNTIFS(EQUIPAMENTOS!$A:$A,A540,EQUIPAMENTOS!$F:$F,"&lt;&gt;FLIPERAMA",EQUIPAMENTOS!$F:$F,"&lt;&gt;VERIFICAR")</f>
        <v>2</v>
      </c>
      <c r="E540" s="89" t="s">
        <v>1135</v>
      </c>
      <c r="F540" s="89" t="s">
        <v>2225</v>
      </c>
      <c r="G540" s="89">
        <f>VLOOKUP(F540,PACOTES!B:E,4,FALSE)</f>
        <v>1</v>
      </c>
      <c r="H540" s="89"/>
    </row>
    <row r="541" spans="1:8" ht="15.75" hidden="1">
      <c r="A541" s="95">
        <v>541</v>
      </c>
      <c r="B541" s="89" t="s">
        <v>1136</v>
      </c>
      <c r="C541" s="90"/>
      <c r="D541" s="89">
        <f>COUNTIFS(EQUIPAMENTOS!$A:$A,A541,EQUIPAMENTOS!$F:$F,"&lt;&gt;FLIPERAMA",EQUIPAMENTOS!$F:$F,"&lt;&gt;VERIFICAR")</f>
        <v>1</v>
      </c>
      <c r="E541" s="89" t="s">
        <v>1137</v>
      </c>
      <c r="F541" s="89" t="s">
        <v>2217</v>
      </c>
      <c r="G541" s="89">
        <f>VLOOKUP(F541,PACOTES!B:E,4,FALSE)</f>
        <v>9</v>
      </c>
      <c r="H541" s="89"/>
    </row>
    <row r="542" spans="1:8" ht="15.75" hidden="1">
      <c r="A542" s="95">
        <v>542</v>
      </c>
      <c r="B542" s="89" t="s">
        <v>1138</v>
      </c>
      <c r="C542" s="90"/>
      <c r="D542" s="89">
        <f>COUNTIFS(EQUIPAMENTOS!$A:$A,A542,EQUIPAMENTOS!$F:$F,"&lt;&gt;FLIPERAMA",EQUIPAMENTOS!$F:$F,"&lt;&gt;VERIFICAR")</f>
        <v>1</v>
      </c>
      <c r="E542" s="89" t="s">
        <v>1139</v>
      </c>
      <c r="F542" s="89" t="s">
        <v>2217</v>
      </c>
      <c r="G542" s="89">
        <f>VLOOKUP(F542,PACOTES!B:E,4,FALSE)</f>
        <v>9</v>
      </c>
      <c r="H542" s="89"/>
    </row>
    <row r="543" spans="1:8" ht="15.75" hidden="1">
      <c r="A543" s="95">
        <v>543</v>
      </c>
      <c r="B543" s="89" t="s">
        <v>1140</v>
      </c>
      <c r="C543" s="90"/>
      <c r="D543" s="89">
        <f>COUNTIFS(EQUIPAMENTOS!$A:$A,A543,EQUIPAMENTOS!$F:$F,"&lt;&gt;FLIPERAMA",EQUIPAMENTOS!$F:$F,"&lt;&gt;VERIFICAR")</f>
        <v>1</v>
      </c>
      <c r="E543" s="89" t="s">
        <v>1141</v>
      </c>
      <c r="F543" s="89" t="s">
        <v>2217</v>
      </c>
      <c r="G543" s="89">
        <f>VLOOKUP(F543,PACOTES!B:E,4,FALSE)</f>
        <v>9</v>
      </c>
      <c r="H543" s="89"/>
    </row>
    <row r="544" spans="1:8" ht="15.75" hidden="1">
      <c r="A544" s="95">
        <v>544</v>
      </c>
      <c r="B544" s="89" t="s">
        <v>1142</v>
      </c>
      <c r="C544" s="90"/>
      <c r="D544" s="89">
        <f>COUNTIFS(EQUIPAMENTOS!$A:$A,A544,EQUIPAMENTOS!$F:$F,"&lt;&gt;FLIPERAMA",EQUIPAMENTOS!$F:$F,"&lt;&gt;VERIFICAR")</f>
        <v>1</v>
      </c>
      <c r="E544" s="89" t="s">
        <v>1143</v>
      </c>
      <c r="F544" s="89" t="s">
        <v>2221</v>
      </c>
      <c r="G544" s="89">
        <f>VLOOKUP(F544,PACOTES!B:E,4,FALSE)</f>
        <v>5</v>
      </c>
      <c r="H544" s="89"/>
    </row>
    <row r="545" spans="1:8" ht="15.75" hidden="1">
      <c r="A545" s="95">
        <v>545</v>
      </c>
      <c r="B545" s="89" t="s">
        <v>1144</v>
      </c>
      <c r="C545" s="90"/>
      <c r="D545" s="89">
        <f>COUNTIFS(EQUIPAMENTOS!$A:$A,A545,EQUIPAMENTOS!$F:$F,"&lt;&gt;FLIPERAMA",EQUIPAMENTOS!$F:$F,"&lt;&gt;VERIFICAR")</f>
        <v>2</v>
      </c>
      <c r="E545" s="89" t="s">
        <v>1145</v>
      </c>
      <c r="F545" s="89" t="s">
        <v>2217</v>
      </c>
      <c r="G545" s="89">
        <f>VLOOKUP(F545,PACOTES!B:E,4,FALSE)</f>
        <v>9</v>
      </c>
      <c r="H545" s="89"/>
    </row>
    <row r="546" spans="1:8" ht="15.75" hidden="1">
      <c r="A546" s="95">
        <v>546</v>
      </c>
      <c r="B546" s="89" t="s">
        <v>1146</v>
      </c>
      <c r="C546" s="90"/>
      <c r="D546" s="89">
        <f>COUNTIFS(EQUIPAMENTOS!$A:$A,A546,EQUIPAMENTOS!$F:$F,"&lt;&gt;FLIPERAMA",EQUIPAMENTOS!$F:$F,"&lt;&gt;VERIFICAR")</f>
        <v>1</v>
      </c>
      <c r="E546" s="89" t="s">
        <v>1147</v>
      </c>
      <c r="F546" s="89" t="s">
        <v>2218</v>
      </c>
      <c r="G546" s="89">
        <f>VLOOKUP(F546,PACOTES!B:E,4,FALSE)</f>
        <v>8</v>
      </c>
      <c r="H546" s="89"/>
    </row>
    <row r="547" spans="1:8" ht="15.75" hidden="1">
      <c r="A547" s="95">
        <v>547</v>
      </c>
      <c r="B547" s="89" t="s">
        <v>1148</v>
      </c>
      <c r="C547" s="90"/>
      <c r="D547" s="89">
        <f>COUNTIFS(EQUIPAMENTOS!$A:$A,A547,EQUIPAMENTOS!$F:$F,"&lt;&gt;FLIPERAMA",EQUIPAMENTOS!$F:$F,"&lt;&gt;VERIFICAR")</f>
        <v>1</v>
      </c>
      <c r="E547" s="89" t="s">
        <v>1149</v>
      </c>
      <c r="F547" s="89" t="s">
        <v>2222</v>
      </c>
      <c r="G547" s="89">
        <f>VLOOKUP(F547,PACOTES!B:E,4,FALSE)</f>
        <v>4</v>
      </c>
      <c r="H547" s="89"/>
    </row>
    <row r="548" spans="1:8" ht="15.75" hidden="1">
      <c r="A548" s="95">
        <v>548</v>
      </c>
      <c r="B548" s="89" t="s">
        <v>1150</v>
      </c>
      <c r="C548" s="90"/>
      <c r="D548" s="89">
        <f>COUNTIFS(EQUIPAMENTOS!$A:$A,A548,EQUIPAMENTOS!$F:$F,"&lt;&gt;FLIPERAMA",EQUIPAMENTOS!$F:$F,"&lt;&gt;VERIFICAR")</f>
        <v>1</v>
      </c>
      <c r="E548" s="89" t="s">
        <v>1151</v>
      </c>
      <c r="F548" s="89" t="s">
        <v>2225</v>
      </c>
      <c r="G548" s="89">
        <f>VLOOKUP(F548,PACOTES!B:E,4,FALSE)</f>
        <v>1</v>
      </c>
      <c r="H548" s="89"/>
    </row>
    <row r="549" spans="1:8" ht="15.75" hidden="1">
      <c r="A549" s="95">
        <v>549</v>
      </c>
      <c r="B549" s="89" t="s">
        <v>1152</v>
      </c>
      <c r="C549" s="90"/>
      <c r="D549" s="89">
        <f>COUNTIFS(EQUIPAMENTOS!$A:$A,A549,EQUIPAMENTOS!$F:$F,"&lt;&gt;FLIPERAMA",EQUIPAMENTOS!$F:$F,"&lt;&gt;VERIFICAR")</f>
        <v>1</v>
      </c>
      <c r="E549" s="89" t="s">
        <v>1153</v>
      </c>
      <c r="F549" s="89" t="s">
        <v>2221</v>
      </c>
      <c r="G549" s="89">
        <f>VLOOKUP(F549,PACOTES!B:E,4,FALSE)</f>
        <v>5</v>
      </c>
      <c r="H549" s="89"/>
    </row>
    <row r="550" spans="1:8" ht="15.75" hidden="1">
      <c r="A550" s="95">
        <v>550</v>
      </c>
      <c r="B550" s="89" t="s">
        <v>1154</v>
      </c>
      <c r="C550" s="90"/>
      <c r="D550" s="89">
        <f>COUNTIFS(EQUIPAMENTOS!$A:$A,A550,EQUIPAMENTOS!$F:$F,"&lt;&gt;FLIPERAMA",EQUIPAMENTOS!$F:$F,"&lt;&gt;VERIFICAR")</f>
        <v>2</v>
      </c>
      <c r="E550" s="89">
        <v>86999214231</v>
      </c>
      <c r="F550" s="89" t="s">
        <v>2217</v>
      </c>
      <c r="G550" s="89">
        <f>VLOOKUP(F550,PACOTES!B:E,4,FALSE)</f>
        <v>9</v>
      </c>
      <c r="H550" s="89"/>
    </row>
    <row r="551" spans="1:8" ht="15.75" hidden="1">
      <c r="A551" s="95">
        <v>551</v>
      </c>
      <c r="B551" s="89" t="s">
        <v>1155</v>
      </c>
      <c r="C551" s="90"/>
      <c r="D551" s="89">
        <f>COUNTIFS(EQUIPAMENTOS!$A:$A,A551,EQUIPAMENTOS!$F:$F,"&lt;&gt;FLIPERAMA",EQUIPAMENTOS!$F:$F,"&lt;&gt;VERIFICAR")</f>
        <v>3</v>
      </c>
      <c r="E551" s="89">
        <v>92982241662</v>
      </c>
      <c r="F551" s="89" t="s">
        <v>2217</v>
      </c>
      <c r="G551" s="89">
        <f>VLOOKUP(F551,PACOTES!B:E,4,FALSE)</f>
        <v>9</v>
      </c>
      <c r="H551" s="89"/>
    </row>
    <row r="552" spans="1:8" ht="15.75" hidden="1">
      <c r="A552" s="95">
        <v>552</v>
      </c>
      <c r="B552" s="89" t="s">
        <v>1156</v>
      </c>
      <c r="C552" s="90"/>
      <c r="D552" s="89">
        <f>COUNTIFS(EQUIPAMENTOS!$A:$A,A552,EQUIPAMENTOS!$F:$F,"&lt;&gt;FLIPERAMA",EQUIPAMENTOS!$F:$F,"&lt;&gt;VERIFICAR")</f>
        <v>1</v>
      </c>
      <c r="E552" s="89" t="s">
        <v>1157</v>
      </c>
      <c r="F552" s="89" t="s">
        <v>2217</v>
      </c>
      <c r="G552" s="89">
        <f>VLOOKUP(F552,PACOTES!B:E,4,FALSE)</f>
        <v>9</v>
      </c>
      <c r="H552" s="89"/>
    </row>
    <row r="553" spans="1:8" ht="15.75" hidden="1">
      <c r="A553" s="95">
        <v>553</v>
      </c>
      <c r="B553" s="89" t="s">
        <v>1158</v>
      </c>
      <c r="C553" s="90"/>
      <c r="D553" s="89">
        <f>COUNTIFS(EQUIPAMENTOS!$A:$A,A553,EQUIPAMENTOS!$F:$F,"&lt;&gt;FLIPERAMA",EQUIPAMENTOS!$F:$F,"&lt;&gt;VERIFICAR")</f>
        <v>2</v>
      </c>
      <c r="E553" s="89" t="s">
        <v>1159</v>
      </c>
      <c r="F553" s="89" t="s">
        <v>2220</v>
      </c>
      <c r="G553" s="89">
        <f>VLOOKUP(F553,PACOTES!B:E,4,FALSE)</f>
        <v>6</v>
      </c>
      <c r="H553" s="89"/>
    </row>
    <row r="554" spans="1:8" ht="15.75" hidden="1">
      <c r="A554" s="95">
        <v>554</v>
      </c>
      <c r="B554" s="89" t="s">
        <v>1160</v>
      </c>
      <c r="C554" s="90"/>
      <c r="D554" s="89">
        <f>COUNTIFS(EQUIPAMENTOS!$A:$A,A554,EQUIPAMENTOS!$F:$F,"&lt;&gt;FLIPERAMA",EQUIPAMENTOS!$F:$F,"&lt;&gt;VERIFICAR")</f>
        <v>1</v>
      </c>
      <c r="E554" s="89" t="s">
        <v>1161</v>
      </c>
      <c r="F554" s="89" t="s">
        <v>2224</v>
      </c>
      <c r="G554" s="89">
        <f>VLOOKUP(F554,PACOTES!B:E,4,FALSE)</f>
        <v>2</v>
      </c>
      <c r="H554" s="89"/>
    </row>
    <row r="555" spans="1:8" ht="15.75" hidden="1">
      <c r="A555" s="95">
        <v>555</v>
      </c>
      <c r="B555" s="89" t="s">
        <v>1162</v>
      </c>
      <c r="C555" s="90"/>
      <c r="D555" s="89">
        <f>COUNTIFS(EQUIPAMENTOS!$A:$A,A555,EQUIPAMENTOS!$F:$F,"&lt;&gt;FLIPERAMA",EQUIPAMENTOS!$F:$F,"&lt;&gt;VERIFICAR")</f>
        <v>1</v>
      </c>
      <c r="E555" s="89" t="s">
        <v>1163</v>
      </c>
      <c r="F555" s="89" t="s">
        <v>2220</v>
      </c>
      <c r="G555" s="89">
        <f>VLOOKUP(F555,PACOTES!B:E,4,FALSE)</f>
        <v>6</v>
      </c>
      <c r="H555" s="89"/>
    </row>
    <row r="556" spans="1:8" ht="15.75" hidden="1">
      <c r="A556" s="95">
        <v>556</v>
      </c>
      <c r="B556" s="89" t="s">
        <v>1164</v>
      </c>
      <c r="C556" s="90"/>
      <c r="D556" s="89">
        <f>COUNTIFS(EQUIPAMENTOS!$A:$A,A556,EQUIPAMENTOS!$F:$F,"&lt;&gt;FLIPERAMA",EQUIPAMENTOS!$F:$F,"&lt;&gt;VERIFICAR")</f>
        <v>5</v>
      </c>
      <c r="E556" s="89" t="s">
        <v>1165</v>
      </c>
      <c r="F556" s="89" t="s">
        <v>2224</v>
      </c>
      <c r="G556" s="89">
        <f>VLOOKUP(F556,PACOTES!B:E,4,FALSE)</f>
        <v>2</v>
      </c>
      <c r="H556" s="89"/>
    </row>
    <row r="557" spans="1:8" ht="15.75" hidden="1">
      <c r="A557" s="95">
        <v>557</v>
      </c>
      <c r="B557" s="89" t="s">
        <v>1166</v>
      </c>
      <c r="C557" s="90"/>
      <c r="D557" s="89">
        <f>COUNTIFS(EQUIPAMENTOS!$A:$A,A557,EQUIPAMENTOS!$F:$F,"&lt;&gt;FLIPERAMA",EQUIPAMENTOS!$F:$F,"&lt;&gt;VERIFICAR")</f>
        <v>1</v>
      </c>
      <c r="E557" s="89" t="s">
        <v>1167</v>
      </c>
      <c r="F557" s="89" t="s">
        <v>2222</v>
      </c>
      <c r="G557" s="89">
        <f>VLOOKUP(F557,PACOTES!B:E,4,FALSE)</f>
        <v>4</v>
      </c>
      <c r="H557" s="89"/>
    </row>
    <row r="558" spans="1:8" ht="15.75" hidden="1">
      <c r="A558" s="95">
        <v>558</v>
      </c>
      <c r="B558" s="89" t="s">
        <v>1168</v>
      </c>
      <c r="C558" s="90"/>
      <c r="D558" s="89">
        <f>COUNTIFS(EQUIPAMENTOS!$A:$A,A558,EQUIPAMENTOS!$F:$F,"&lt;&gt;FLIPERAMA",EQUIPAMENTOS!$F:$F,"&lt;&gt;VERIFICAR")</f>
        <v>1</v>
      </c>
      <c r="E558" s="89" t="s">
        <v>1169</v>
      </c>
      <c r="F558" s="89" t="s">
        <v>2216</v>
      </c>
      <c r="G558" s="89">
        <f>VLOOKUP(F558,PACOTES!B:E,4,FALSE)</f>
        <v>10</v>
      </c>
      <c r="H558" s="89"/>
    </row>
    <row r="559" spans="1:8" ht="15.75" hidden="1">
      <c r="A559" s="95">
        <v>559</v>
      </c>
      <c r="B559" s="89" t="s">
        <v>1170</v>
      </c>
      <c r="C559" s="90"/>
      <c r="D559" s="89">
        <f>COUNTIFS(EQUIPAMENTOS!$A:$A,A559,EQUIPAMENTOS!$F:$F,"&lt;&gt;FLIPERAMA",EQUIPAMENTOS!$F:$F,"&lt;&gt;VERIFICAR")</f>
        <v>2</v>
      </c>
      <c r="E559" s="89">
        <v>98992200383</v>
      </c>
      <c r="F559" s="89" t="s">
        <v>2217</v>
      </c>
      <c r="G559" s="89">
        <f>VLOOKUP(F559,PACOTES!B:E,4,FALSE)</f>
        <v>9</v>
      </c>
      <c r="H559" s="89"/>
    </row>
    <row r="560" spans="1:8" ht="15.75" hidden="1">
      <c r="A560" s="95">
        <v>560</v>
      </c>
      <c r="B560" s="89" t="s">
        <v>1171</v>
      </c>
      <c r="C560" s="90"/>
      <c r="D560" s="89">
        <f>COUNTIFS(EQUIPAMENTOS!$A:$A,A560,EQUIPAMENTOS!$F:$F,"&lt;&gt;FLIPERAMA",EQUIPAMENTOS!$F:$F,"&lt;&gt;VERIFICAR")</f>
        <v>1</v>
      </c>
      <c r="E560" s="89">
        <v>37988278560</v>
      </c>
      <c r="F560" s="89" t="s">
        <v>2226</v>
      </c>
      <c r="G560" s="89">
        <f>VLOOKUP(F560,PACOTES!B:E,4,FALSE)</f>
        <v>0</v>
      </c>
      <c r="H560" s="89" t="s">
        <v>134</v>
      </c>
    </row>
    <row r="561" spans="1:8" ht="15.75" hidden="1">
      <c r="A561" s="95">
        <v>561</v>
      </c>
      <c r="B561" s="89" t="s">
        <v>2021</v>
      </c>
      <c r="C561" s="89"/>
      <c r="D561" s="89">
        <f>COUNTIFS(EQUIPAMENTOS!$A:$A,A561,EQUIPAMENTOS!$F:$F,"&lt;&gt;FLIPERAMA",EQUIPAMENTOS!$F:$F,"&lt;&gt;VERIFICAR")</f>
        <v>1</v>
      </c>
      <c r="E561" s="89">
        <v>21988855154</v>
      </c>
      <c r="F561" s="89" t="s">
        <v>2225</v>
      </c>
      <c r="G561" s="89">
        <f>VLOOKUP(F561,PACOTES!B:E,4,FALSE)</f>
        <v>1</v>
      </c>
      <c r="H561" s="89" t="s">
        <v>134</v>
      </c>
    </row>
    <row r="562" spans="1:8" ht="15.75" hidden="1">
      <c r="A562" s="95">
        <v>562</v>
      </c>
      <c r="B562" s="89" t="s">
        <v>2212</v>
      </c>
      <c r="C562" s="89"/>
      <c r="D562" s="89">
        <f>COUNTIFS(EQUIPAMENTOS!$A:$A,A562,EQUIPAMENTOS!$F:$F,"&lt;&gt;FLIPERAMA",EQUIPAMENTOS!$F:$F,"&lt;&gt;VERIFICAR")</f>
        <v>1</v>
      </c>
      <c r="E562" s="91">
        <v>21970202113</v>
      </c>
      <c r="F562" s="89" t="s">
        <v>2225</v>
      </c>
      <c r="G562" s="89">
        <f>VLOOKUP(F562,PACOTES!B:E,4,FALSE)</f>
        <v>1</v>
      </c>
      <c r="H562" s="89" t="s">
        <v>134</v>
      </c>
    </row>
    <row r="563" spans="1:8" ht="15.75" hidden="1">
      <c r="A563" s="95">
        <v>563</v>
      </c>
      <c r="B563" s="89" t="s">
        <v>2195</v>
      </c>
      <c r="C563" s="89"/>
      <c r="D563" s="89">
        <f>COUNTIFS(EQUIPAMENTOS!$A:$A,A563,EQUIPAMENTOS!$F:$F,"&lt;&gt;FLIPERAMA",EQUIPAMENTOS!$F:$F,"&lt;&gt;VERIFICAR")</f>
        <v>1</v>
      </c>
      <c r="E563" s="91">
        <v>15996434549</v>
      </c>
      <c r="F563" s="89" t="s">
        <v>2221</v>
      </c>
      <c r="G563" s="89">
        <f>VLOOKUP(F563,PACOTES!B:E,4,FALSE)</f>
        <v>5</v>
      </c>
      <c r="H563" s="89"/>
    </row>
    <row r="564" spans="1:8" ht="15.75" hidden="1">
      <c r="A564" s="95">
        <v>564</v>
      </c>
      <c r="B564" s="92" t="s">
        <v>2200</v>
      </c>
      <c r="C564" s="91"/>
      <c r="D564" s="89">
        <f>COUNTIFS(EQUIPAMENTOS!$A:$A,A564,EQUIPAMENTOS!$F:$F,"&lt;&gt;FLIPERAMA",EQUIPAMENTOS!$F:$F,"&lt;&gt;VERIFICAR")</f>
        <v>2</v>
      </c>
      <c r="E564" s="91">
        <v>21980739633</v>
      </c>
      <c r="F564" s="89" t="s">
        <v>2222</v>
      </c>
      <c r="G564" s="89">
        <f>VLOOKUP(F564,PACOTES!B:E,4,FALSE)</f>
        <v>4</v>
      </c>
      <c r="H564" s="89"/>
    </row>
    <row r="565" spans="1:8" ht="15.75" hidden="1">
      <c r="A565" s="95">
        <v>565</v>
      </c>
      <c r="B565" s="92" t="s">
        <v>2201</v>
      </c>
      <c r="C565" s="89"/>
      <c r="D565" s="89">
        <f>COUNTIFS(EQUIPAMENTOS!$A:$A,A565,EQUIPAMENTOS!$F:$F,"&lt;&gt;FLIPERAMA",EQUIPAMENTOS!$F:$F,"&lt;&gt;VERIFICAR")</f>
        <v>1</v>
      </c>
      <c r="E565" s="91">
        <v>21964591341</v>
      </c>
      <c r="F565" s="91" t="s">
        <v>2223</v>
      </c>
      <c r="G565" s="89">
        <f>VLOOKUP(F565,PACOTES!B:E,4,FALSE)</f>
        <v>3</v>
      </c>
      <c r="H565" s="89"/>
    </row>
    <row r="566" spans="1:8" ht="15.75" hidden="1">
      <c r="A566" s="95">
        <v>566</v>
      </c>
      <c r="B566" s="92" t="s">
        <v>1617</v>
      </c>
      <c r="C566" s="89"/>
      <c r="D566" s="89">
        <f>COUNTIFS(EQUIPAMENTOS!$A:$A,A566,EQUIPAMENTOS!$F:$F,"&lt;&gt;FLIPERAMA",EQUIPAMENTOS!$F:$F,"&lt;&gt;VERIFICAR")</f>
        <v>1</v>
      </c>
      <c r="E566" s="91">
        <v>21971895561</v>
      </c>
      <c r="F566" s="89" t="s">
        <v>2225</v>
      </c>
      <c r="G566" s="89">
        <f>VLOOKUP(F566,PACOTES!B:E,4,FALSE)</f>
        <v>1</v>
      </c>
      <c r="H566" s="89"/>
    </row>
    <row r="567" spans="1:8" ht="15.75" hidden="1">
      <c r="A567" s="95">
        <v>567</v>
      </c>
      <c r="B567" s="93" t="s">
        <v>1514</v>
      </c>
      <c r="C567" s="89"/>
      <c r="D567" s="89">
        <f>COUNTIFS(EQUIPAMENTOS!$A:$A,A567,EQUIPAMENTOS!$F:$F,"&lt;&gt;FLIPERAMA",EQUIPAMENTOS!$F:$F,"&lt;&gt;VERIFICAR")</f>
        <v>1</v>
      </c>
      <c r="E567" s="91">
        <v>21975406360</v>
      </c>
      <c r="F567" s="89" t="s">
        <v>2223</v>
      </c>
      <c r="G567" s="89">
        <f>VLOOKUP(F567,PACOTES!B:E,4,FALSE)</f>
        <v>3</v>
      </c>
      <c r="H567" s="89"/>
    </row>
    <row r="568" spans="1:8" ht="15.75" hidden="1">
      <c r="A568" s="99">
        <v>568</v>
      </c>
      <c r="B568" s="100" t="s">
        <v>2207</v>
      </c>
      <c r="C568" s="101"/>
      <c r="D568" s="101">
        <f>COUNTIFS(EQUIPAMENTOS!$A:$A,A568,EQUIPAMENTOS!$F:$F,"&lt;&gt;FLIPERAMA",EQUIPAMENTOS!$F:$F,"&lt;&gt;VERIFICAR")</f>
        <v>1</v>
      </c>
      <c r="E568" s="102">
        <v>21998883954</v>
      </c>
      <c r="F568" s="101" t="s">
        <v>2223</v>
      </c>
      <c r="G568" s="101">
        <f>VLOOKUP(F568,PACOTES!B:E,4,FALSE)</f>
        <v>3</v>
      </c>
      <c r="H568" s="101"/>
    </row>
    <row r="569" spans="1:8" ht="15.75" hidden="1">
      <c r="A569" s="99">
        <v>569</v>
      </c>
      <c r="B569" s="100" t="s">
        <v>2144</v>
      </c>
      <c r="C569" s="101"/>
      <c r="D569" s="101">
        <f>COUNTIFS(EQUIPAMENTOS!$A:$A,A569,EQUIPAMENTOS!$F:$F,"&lt;&gt;FLIPERAMA",EQUIPAMENTOS!$F:$F,"&lt;&gt;VERIFICAR")</f>
        <v>1</v>
      </c>
      <c r="E569" s="101">
        <v>21995146114</v>
      </c>
      <c r="F569" s="101" t="s">
        <v>2216</v>
      </c>
      <c r="G569" s="101">
        <f>VLOOKUP(F569,PACOTES!B:E,4,FALSE)</f>
        <v>10</v>
      </c>
      <c r="H569" s="101"/>
    </row>
  </sheetData>
  <conditionalFormatting sqref="A2:A999">
    <cfRule type="expression" dxfId="2" priority="1">
      <formula>COUNTIF($A:$A,A2)&gt;1</formula>
    </cfRule>
  </conditionalFormatting>
  <dataValidations count="1">
    <dataValidation type="custom" showErrorMessage="1" errorTitle="ID repetido" error="Este ID já existe no CADASTRO. Use um ID único." sqref="A2:A999" xr:uid="{00000000-0002-0000-0000-000000000000}">
      <formula1>COUNTIF($A:$A,A2)=1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P831"/>
  <sheetViews>
    <sheetView tabSelected="1" workbookViewId="0">
      <selection activeCell="G29" sqref="G29"/>
    </sheetView>
  </sheetViews>
  <sheetFormatPr defaultColWidth="8.85546875" defaultRowHeight="15"/>
  <cols>
    <col min="1" max="1" width="14" customWidth="1"/>
    <col min="2" max="2" width="14.28515625" style="67" customWidth="1"/>
    <col min="3" max="3" width="18.5703125" style="7" customWidth="1"/>
    <col min="4" max="4" width="36.28515625" style="8" bestFit="1" customWidth="1"/>
    <col min="5" max="5" width="16" style="10" customWidth="1"/>
    <col min="6" max="6" width="14" style="27" customWidth="1"/>
    <col min="7" max="7" width="61.140625" style="27" bestFit="1" customWidth="1"/>
    <col min="8" max="8" width="9.5703125" style="7" customWidth="1"/>
    <col min="9" max="10" width="10.140625" style="7" customWidth="1"/>
    <col min="11" max="16" width="13.28515625" style="9" customWidth="1"/>
    <col min="17" max="17" width="8.85546875" style="5"/>
    <col min="18" max="18" width="23.28515625" style="5" customWidth="1"/>
    <col min="19" max="16384" width="8.85546875" style="5"/>
  </cols>
  <sheetData>
    <row r="1" spans="1:16" s="11" customFormat="1" ht="31.5">
      <c r="A1" s="63" t="s">
        <v>44</v>
      </c>
      <c r="B1" s="66" t="s">
        <v>1172</v>
      </c>
      <c r="C1" s="63" t="s">
        <v>1173</v>
      </c>
      <c r="D1" s="63" t="s">
        <v>1174</v>
      </c>
      <c r="E1" s="63" t="s">
        <v>1175</v>
      </c>
      <c r="F1" s="63" t="s">
        <v>6</v>
      </c>
      <c r="G1" s="63" t="s">
        <v>1176</v>
      </c>
      <c r="H1" s="75" t="s">
        <v>2228</v>
      </c>
      <c r="I1" s="75" t="s">
        <v>2231</v>
      </c>
      <c r="J1" s="75" t="s">
        <v>48</v>
      </c>
      <c r="K1" s="64" t="s">
        <v>1177</v>
      </c>
      <c r="L1" s="64" t="s">
        <v>1178</v>
      </c>
      <c r="M1" s="94" t="s">
        <v>1179</v>
      </c>
      <c r="N1" s="94" t="s">
        <v>2236</v>
      </c>
      <c r="O1" s="94" t="s">
        <v>2241</v>
      </c>
      <c r="P1" s="94" t="s">
        <v>49</v>
      </c>
    </row>
    <row r="2" spans="1:16" s="4" customFormat="1">
      <c r="A2" s="57">
        <v>108</v>
      </c>
      <c r="B2" s="37">
        <v>43485</v>
      </c>
      <c r="C2" s="28">
        <v>43485</v>
      </c>
      <c r="D2" s="29" t="s">
        <v>1593</v>
      </c>
      <c r="E2" s="30">
        <v>21970256290</v>
      </c>
      <c r="F2" s="31" t="s">
        <v>10</v>
      </c>
      <c r="G2" s="31" t="s">
        <v>1513</v>
      </c>
      <c r="H2" s="77" t="s">
        <v>2220</v>
      </c>
      <c r="I2" s="31">
        <f>VLOOKUP(H2,PACOTES!B:E,4,FALSE)</f>
        <v>6</v>
      </c>
      <c r="J2" s="77" t="s">
        <v>419</v>
      </c>
      <c r="K2" s="32">
        <v>2530</v>
      </c>
      <c r="L2" s="32">
        <v>2530</v>
      </c>
      <c r="M2" s="108">
        <v>0</v>
      </c>
      <c r="N2" s="32"/>
      <c r="O2" s="32"/>
      <c r="P2" s="32"/>
    </row>
    <row r="3" spans="1:16" s="4" customFormat="1">
      <c r="A3" s="57">
        <v>315</v>
      </c>
      <c r="B3" s="37">
        <v>43503</v>
      </c>
      <c r="C3" s="28">
        <v>43503</v>
      </c>
      <c r="D3" s="31" t="s">
        <v>1951</v>
      </c>
      <c r="E3" s="33">
        <v>21991950287</v>
      </c>
      <c r="F3" s="31" t="s">
        <v>10</v>
      </c>
      <c r="G3" s="31" t="s">
        <v>1952</v>
      </c>
      <c r="H3" s="77" t="s">
        <v>2215</v>
      </c>
      <c r="I3" s="31">
        <f>VLOOKUP(H3,PACOTES!B:E,4,FALSE)</f>
        <v>11</v>
      </c>
      <c r="J3" s="77" t="s">
        <v>419</v>
      </c>
      <c r="K3" s="32">
        <v>3000</v>
      </c>
      <c r="L3" s="32">
        <v>3000</v>
      </c>
      <c r="M3" s="108">
        <v>0</v>
      </c>
      <c r="N3" s="32"/>
      <c r="O3" s="32"/>
      <c r="P3" s="32"/>
    </row>
    <row r="4" spans="1:16">
      <c r="A4" s="57">
        <v>315</v>
      </c>
      <c r="B4" s="37">
        <v>43503</v>
      </c>
      <c r="C4" s="37">
        <v>43503</v>
      </c>
      <c r="D4" s="31" t="s">
        <v>1951</v>
      </c>
      <c r="E4" s="31">
        <v>21991950287</v>
      </c>
      <c r="F4" s="31" t="s">
        <v>12</v>
      </c>
      <c r="G4" s="31" t="s">
        <v>1322</v>
      </c>
      <c r="H4" s="31" t="s">
        <v>1324</v>
      </c>
      <c r="I4" s="31"/>
      <c r="J4" s="77" t="s">
        <v>419</v>
      </c>
      <c r="K4" s="32">
        <v>180</v>
      </c>
      <c r="L4" s="32">
        <v>180</v>
      </c>
      <c r="M4" s="108">
        <v>0</v>
      </c>
      <c r="N4" s="32"/>
      <c r="O4" s="32"/>
      <c r="P4" s="32"/>
    </row>
    <row r="5" spans="1:16" s="4" customFormat="1">
      <c r="A5" s="76" t="s">
        <v>2214</v>
      </c>
      <c r="B5" s="37">
        <v>43503</v>
      </c>
      <c r="C5" s="28">
        <v>43503</v>
      </c>
      <c r="D5" s="31" t="s">
        <v>1321</v>
      </c>
      <c r="E5" s="31">
        <v>21964487447</v>
      </c>
      <c r="F5" s="31" t="s">
        <v>7</v>
      </c>
      <c r="G5" s="31" t="s">
        <v>2135</v>
      </c>
      <c r="H5" s="77" t="s">
        <v>2214</v>
      </c>
      <c r="I5" s="31"/>
      <c r="J5" s="77" t="s">
        <v>2214</v>
      </c>
      <c r="K5" s="32">
        <v>2100</v>
      </c>
      <c r="L5" s="32">
        <v>2100</v>
      </c>
      <c r="M5" s="108">
        <v>0</v>
      </c>
      <c r="N5" s="104" t="s">
        <v>2214</v>
      </c>
      <c r="O5" s="32"/>
      <c r="P5" s="32"/>
    </row>
    <row r="6" spans="1:16" s="4" customFormat="1">
      <c r="A6" s="57">
        <v>71</v>
      </c>
      <c r="B6" s="37">
        <v>43530</v>
      </c>
      <c r="C6" s="28">
        <v>43530</v>
      </c>
      <c r="D6" s="31" t="s">
        <v>1470</v>
      </c>
      <c r="E6" s="33">
        <v>21967304279</v>
      </c>
      <c r="F6" s="31" t="s">
        <v>10</v>
      </c>
      <c r="G6" s="31" t="s">
        <v>1471</v>
      </c>
      <c r="H6" s="77" t="s">
        <v>2215</v>
      </c>
      <c r="I6" s="31">
        <f>VLOOKUP(H6,PACOTES!B:E,4,FALSE)</f>
        <v>11</v>
      </c>
      <c r="J6" s="77" t="s">
        <v>419</v>
      </c>
      <c r="K6" s="32">
        <v>3000</v>
      </c>
      <c r="L6" s="32">
        <v>3000</v>
      </c>
      <c r="M6" s="108">
        <v>0</v>
      </c>
      <c r="N6" s="32"/>
      <c r="O6" s="32"/>
      <c r="P6" s="32"/>
    </row>
    <row r="7" spans="1:16">
      <c r="A7" s="76" t="s">
        <v>2214</v>
      </c>
      <c r="B7" s="37">
        <v>43777</v>
      </c>
      <c r="C7" s="28">
        <v>43777</v>
      </c>
      <c r="D7" s="31" t="s">
        <v>2136</v>
      </c>
      <c r="E7" s="33">
        <v>21981535299</v>
      </c>
      <c r="F7" s="31" t="s">
        <v>7</v>
      </c>
      <c r="G7" s="31" t="s">
        <v>2137</v>
      </c>
      <c r="H7" s="77" t="s">
        <v>2214</v>
      </c>
      <c r="I7" s="31"/>
      <c r="J7" s="77" t="s">
        <v>2214</v>
      </c>
      <c r="K7" s="32">
        <v>2000</v>
      </c>
      <c r="L7" s="32">
        <v>2000</v>
      </c>
      <c r="M7" s="108">
        <v>0</v>
      </c>
      <c r="N7" s="104" t="s">
        <v>2214</v>
      </c>
      <c r="O7" s="32"/>
      <c r="P7" s="32"/>
    </row>
    <row r="8" spans="1:16" s="6" customFormat="1">
      <c r="A8" s="76" t="s">
        <v>2214</v>
      </c>
      <c r="B8" s="37">
        <v>43777</v>
      </c>
      <c r="C8" s="37">
        <v>43777</v>
      </c>
      <c r="D8" s="31" t="s">
        <v>2136</v>
      </c>
      <c r="E8" s="33">
        <v>21981535299</v>
      </c>
      <c r="F8" s="31" t="s">
        <v>7</v>
      </c>
      <c r="G8" s="31" t="s">
        <v>2138</v>
      </c>
      <c r="H8" s="77" t="s">
        <v>2214</v>
      </c>
      <c r="I8" s="31"/>
      <c r="J8" s="77" t="s">
        <v>2214</v>
      </c>
      <c r="K8" s="32">
        <v>2000</v>
      </c>
      <c r="L8" s="32">
        <v>2000</v>
      </c>
      <c r="M8" s="108">
        <v>0</v>
      </c>
      <c r="N8" s="104" t="s">
        <v>2214</v>
      </c>
      <c r="O8" s="32"/>
      <c r="P8" s="32"/>
    </row>
    <row r="9" spans="1:16" s="4" customFormat="1">
      <c r="A9" s="57">
        <v>335</v>
      </c>
      <c r="B9" s="37">
        <v>43799</v>
      </c>
      <c r="C9" s="28">
        <v>43799</v>
      </c>
      <c r="D9" s="31" t="s">
        <v>1623</v>
      </c>
      <c r="E9" s="33">
        <v>21994124232</v>
      </c>
      <c r="F9" s="31" t="s">
        <v>10</v>
      </c>
      <c r="G9" s="31" t="s">
        <v>1774</v>
      </c>
      <c r="H9" s="77" t="s">
        <v>2220</v>
      </c>
      <c r="I9" s="31">
        <f>VLOOKUP(H9,PACOTES!B:E,4,FALSE)</f>
        <v>6</v>
      </c>
      <c r="J9" s="77" t="s">
        <v>419</v>
      </c>
      <c r="K9" s="32">
        <v>2800</v>
      </c>
      <c r="L9" s="32">
        <v>2800</v>
      </c>
      <c r="M9" s="108">
        <v>0</v>
      </c>
      <c r="N9" s="32"/>
      <c r="O9" s="32"/>
      <c r="P9" s="32"/>
    </row>
    <row r="10" spans="1:16" s="4" customFormat="1">
      <c r="A10" s="57">
        <v>157</v>
      </c>
      <c r="B10" s="37">
        <v>43800</v>
      </c>
      <c r="C10" s="28">
        <v>43800</v>
      </c>
      <c r="D10" s="31" t="s">
        <v>1217</v>
      </c>
      <c r="E10" s="33">
        <v>21974950824</v>
      </c>
      <c r="F10" s="31" t="s">
        <v>11</v>
      </c>
      <c r="G10" s="31" t="s">
        <v>1224</v>
      </c>
      <c r="H10" s="77" t="s">
        <v>2221</v>
      </c>
      <c r="I10" s="31">
        <f>VLOOKUP(H10,PACOTES!B:E,4,FALSE)</f>
        <v>5</v>
      </c>
      <c r="J10" s="77" t="s">
        <v>419</v>
      </c>
      <c r="K10" s="32">
        <v>2400</v>
      </c>
      <c r="L10" s="32">
        <v>2400</v>
      </c>
      <c r="M10" s="108">
        <v>0</v>
      </c>
      <c r="N10" s="32"/>
      <c r="O10" s="32"/>
      <c r="P10" s="32"/>
    </row>
    <row r="11" spans="1:16" s="4" customFormat="1">
      <c r="A11" s="57">
        <v>223</v>
      </c>
      <c r="B11" s="37">
        <v>43801</v>
      </c>
      <c r="C11" s="28">
        <v>43801</v>
      </c>
      <c r="D11" s="31" t="s">
        <v>1790</v>
      </c>
      <c r="E11" s="33">
        <v>21982271044</v>
      </c>
      <c r="F11" s="31" t="s">
        <v>11</v>
      </c>
      <c r="G11" s="31" t="s">
        <v>1224</v>
      </c>
      <c r="H11" s="77" t="s">
        <v>2220</v>
      </c>
      <c r="I11" s="31">
        <f>VLOOKUP(H11,PACOTES!B:E,4,FALSE)</f>
        <v>6</v>
      </c>
      <c r="J11" s="77" t="s">
        <v>419</v>
      </c>
      <c r="K11" s="32">
        <v>1650</v>
      </c>
      <c r="L11" s="32">
        <v>1650</v>
      </c>
      <c r="M11" s="108">
        <v>0</v>
      </c>
      <c r="N11" s="32"/>
      <c r="O11" s="32"/>
      <c r="P11" s="32"/>
    </row>
    <row r="12" spans="1:16">
      <c r="A12" s="57">
        <v>335</v>
      </c>
      <c r="B12" s="37">
        <v>43803</v>
      </c>
      <c r="C12" s="28">
        <v>43803</v>
      </c>
      <c r="D12" s="31" t="s">
        <v>1623</v>
      </c>
      <c r="E12" s="33">
        <v>21994124232</v>
      </c>
      <c r="F12" s="31" t="s">
        <v>10</v>
      </c>
      <c r="G12" s="31" t="s">
        <v>1774</v>
      </c>
      <c r="H12" s="77" t="s">
        <v>2215</v>
      </c>
      <c r="I12" s="31">
        <f>VLOOKUP(H12,PACOTES!B:E,4,FALSE)</f>
        <v>11</v>
      </c>
      <c r="J12" s="77" t="s">
        <v>419</v>
      </c>
      <c r="K12" s="32">
        <v>2800</v>
      </c>
      <c r="L12" s="32">
        <v>2800</v>
      </c>
      <c r="M12" s="108">
        <v>0</v>
      </c>
      <c r="N12" s="32"/>
      <c r="O12" s="32"/>
      <c r="P12" s="32"/>
    </row>
    <row r="13" spans="1:16" s="4" customFormat="1">
      <c r="A13" s="57">
        <v>216</v>
      </c>
      <c r="B13" s="37">
        <v>43809</v>
      </c>
      <c r="C13" s="28">
        <v>43809</v>
      </c>
      <c r="D13" s="31" t="s">
        <v>1225</v>
      </c>
      <c r="E13" s="33">
        <v>21982068300</v>
      </c>
      <c r="F13" s="31" t="s">
        <v>10</v>
      </c>
      <c r="G13" s="31" t="s">
        <v>1774</v>
      </c>
      <c r="H13" s="77" t="s">
        <v>2216</v>
      </c>
      <c r="I13" s="31">
        <f>VLOOKUP(H13,PACOTES!B:E,4,FALSE)</f>
        <v>10</v>
      </c>
      <c r="J13" s="77" t="s">
        <v>419</v>
      </c>
      <c r="K13" s="32">
        <v>2800</v>
      </c>
      <c r="L13" s="32">
        <v>2800</v>
      </c>
      <c r="M13" s="108">
        <v>0</v>
      </c>
      <c r="N13" s="32"/>
      <c r="O13" s="32"/>
      <c r="P13" s="32"/>
    </row>
    <row r="14" spans="1:16" s="4" customFormat="1">
      <c r="A14" s="57">
        <v>28</v>
      </c>
      <c r="B14" s="37">
        <v>43816</v>
      </c>
      <c r="C14" s="28">
        <v>43816</v>
      </c>
      <c r="D14" s="31" t="s">
        <v>1289</v>
      </c>
      <c r="E14" s="33">
        <v>21964347393</v>
      </c>
      <c r="F14" s="31" t="s">
        <v>11</v>
      </c>
      <c r="G14" s="31" t="s">
        <v>1224</v>
      </c>
      <c r="H14" s="77" t="s">
        <v>2217</v>
      </c>
      <c r="I14" s="31">
        <f>VLOOKUP(H14,PACOTES!B:E,4,FALSE)</f>
        <v>9</v>
      </c>
      <c r="J14" s="77" t="s">
        <v>419</v>
      </c>
      <c r="K14" s="32">
        <v>1511</v>
      </c>
      <c r="L14" s="32">
        <v>1511</v>
      </c>
      <c r="M14" s="108">
        <v>0</v>
      </c>
      <c r="N14" s="32"/>
      <c r="O14" s="32"/>
      <c r="P14" s="32"/>
    </row>
    <row r="15" spans="1:16">
      <c r="A15" s="57">
        <v>497</v>
      </c>
      <c r="B15" s="37">
        <v>43819</v>
      </c>
      <c r="C15" s="28">
        <v>43819</v>
      </c>
      <c r="D15" s="31" t="s">
        <v>1386</v>
      </c>
      <c r="E15" s="33">
        <v>32999927323</v>
      </c>
      <c r="F15" s="31" t="s">
        <v>11</v>
      </c>
      <c r="G15" s="31" t="s">
        <v>1224</v>
      </c>
      <c r="H15" s="77" t="s">
        <v>2215</v>
      </c>
      <c r="I15" s="31">
        <f>VLOOKUP(H15,PACOTES!B:E,4,FALSE)</f>
        <v>11</v>
      </c>
      <c r="J15" s="77" t="s">
        <v>419</v>
      </c>
      <c r="K15" s="32">
        <v>1511</v>
      </c>
      <c r="L15" s="32">
        <v>1511</v>
      </c>
      <c r="M15" s="108">
        <v>0</v>
      </c>
      <c r="N15" s="32"/>
      <c r="O15" s="32"/>
      <c r="P15" s="32"/>
    </row>
    <row r="16" spans="1:16" s="4" customFormat="1">
      <c r="A16" s="57">
        <v>83</v>
      </c>
      <c r="B16" s="37">
        <v>43823</v>
      </c>
      <c r="C16" s="28">
        <v>43823</v>
      </c>
      <c r="D16" s="31" t="s">
        <v>1512</v>
      </c>
      <c r="E16" s="33">
        <v>21969038449</v>
      </c>
      <c r="F16" s="31" t="s">
        <v>10</v>
      </c>
      <c r="G16" s="31" t="s">
        <v>1513</v>
      </c>
      <c r="H16" s="77" t="s">
        <v>2220</v>
      </c>
      <c r="I16" s="31">
        <f>VLOOKUP(H16,PACOTES!B:E,4,FALSE)</f>
        <v>6</v>
      </c>
      <c r="J16" s="77" t="s">
        <v>419</v>
      </c>
      <c r="K16" s="32">
        <v>2800</v>
      </c>
      <c r="L16" s="32">
        <v>2800</v>
      </c>
      <c r="M16" s="108">
        <v>0</v>
      </c>
      <c r="N16" s="32"/>
      <c r="O16" s="32"/>
      <c r="P16" s="32"/>
    </row>
    <row r="17" spans="1:16">
      <c r="A17" s="57">
        <v>43</v>
      </c>
      <c r="B17" s="37">
        <v>43840</v>
      </c>
      <c r="C17" s="28">
        <v>44216</v>
      </c>
      <c r="D17" s="29" t="s">
        <v>1356</v>
      </c>
      <c r="E17" s="33">
        <v>21964707001</v>
      </c>
      <c r="F17" s="31" t="s">
        <v>11</v>
      </c>
      <c r="G17" s="31" t="s">
        <v>1357</v>
      </c>
      <c r="H17" s="77" t="s">
        <v>2217</v>
      </c>
      <c r="I17" s="31">
        <f>VLOOKUP(H17,PACOTES!B:E,4,FALSE)</f>
        <v>9</v>
      </c>
      <c r="J17" s="77" t="s">
        <v>419</v>
      </c>
      <c r="K17" s="32">
        <v>1804.72</v>
      </c>
      <c r="L17" s="32">
        <v>1804.72</v>
      </c>
      <c r="M17" s="108">
        <v>0</v>
      </c>
      <c r="N17" s="32"/>
      <c r="O17" s="32"/>
      <c r="P17" s="32"/>
    </row>
    <row r="18" spans="1:16" s="4" customFormat="1">
      <c r="A18" s="57">
        <v>35</v>
      </c>
      <c r="B18" s="37">
        <v>43847</v>
      </c>
      <c r="C18" s="28">
        <v>43847</v>
      </c>
      <c r="D18" s="31" t="s">
        <v>1321</v>
      </c>
      <c r="E18" s="33">
        <v>21964487448</v>
      </c>
      <c r="F18" s="31" t="s">
        <v>12</v>
      </c>
      <c r="G18" s="31" t="s">
        <v>1322</v>
      </c>
      <c r="H18" s="77" t="s">
        <v>2217</v>
      </c>
      <c r="I18" s="31">
        <f>VLOOKUP(H18,PACOTES!B:E,4,FALSE)</f>
        <v>9</v>
      </c>
      <c r="J18" s="77" t="s">
        <v>419</v>
      </c>
      <c r="K18" s="32">
        <v>40</v>
      </c>
      <c r="L18" s="32">
        <v>40</v>
      </c>
      <c r="M18" s="108">
        <v>0</v>
      </c>
      <c r="N18" s="32"/>
      <c r="O18" s="32"/>
      <c r="P18" s="32"/>
    </row>
    <row r="19" spans="1:16" s="4" customFormat="1">
      <c r="A19" s="57">
        <v>35</v>
      </c>
      <c r="B19" s="37">
        <v>43874</v>
      </c>
      <c r="C19" s="28">
        <v>43874</v>
      </c>
      <c r="D19" s="31" t="s">
        <v>1321</v>
      </c>
      <c r="E19" s="31">
        <v>21964487448</v>
      </c>
      <c r="F19" s="31" t="s">
        <v>7</v>
      </c>
      <c r="G19" s="31" t="s">
        <v>1323</v>
      </c>
      <c r="H19" s="77" t="s">
        <v>2214</v>
      </c>
      <c r="I19" s="31"/>
      <c r="J19" s="77" t="s">
        <v>2214</v>
      </c>
      <c r="K19" s="32">
        <v>1200</v>
      </c>
      <c r="L19" s="32">
        <v>1200</v>
      </c>
      <c r="M19" s="108">
        <v>0</v>
      </c>
      <c r="N19" s="104" t="s">
        <v>2214</v>
      </c>
      <c r="O19" s="32"/>
      <c r="P19" s="32"/>
    </row>
    <row r="20" spans="1:16">
      <c r="A20" s="57">
        <v>147</v>
      </c>
      <c r="B20" s="37">
        <v>43891</v>
      </c>
      <c r="C20" s="28">
        <v>43891</v>
      </c>
      <c r="D20" s="31" t="s">
        <v>1669</v>
      </c>
      <c r="E20" s="33">
        <v>21974023140</v>
      </c>
      <c r="F20" s="31" t="s">
        <v>11</v>
      </c>
      <c r="G20" s="31" t="s">
        <v>1670</v>
      </c>
      <c r="H20" s="77" t="s">
        <v>2221</v>
      </c>
      <c r="I20" s="31">
        <f>VLOOKUP(H20,PACOTES!B:E,4,FALSE)</f>
        <v>5</v>
      </c>
      <c r="J20" s="77" t="s">
        <v>419</v>
      </c>
      <c r="K20" s="32">
        <v>0</v>
      </c>
      <c r="L20" s="32">
        <v>0</v>
      </c>
      <c r="M20" s="108">
        <v>0</v>
      </c>
      <c r="N20" s="32"/>
      <c r="O20" s="32"/>
      <c r="P20" s="32"/>
    </row>
    <row r="21" spans="1:16">
      <c r="A21" s="57">
        <v>154</v>
      </c>
      <c r="B21" s="37">
        <v>43891</v>
      </c>
      <c r="C21" s="28">
        <v>43891</v>
      </c>
      <c r="D21" s="31" t="s">
        <v>1679</v>
      </c>
      <c r="E21" s="31">
        <v>21974802575</v>
      </c>
      <c r="F21" s="31" t="s">
        <v>12</v>
      </c>
      <c r="G21" s="31" t="s">
        <v>1680</v>
      </c>
      <c r="H21" s="77" t="s">
        <v>2216</v>
      </c>
      <c r="I21" s="31">
        <f>VLOOKUP(H21,PACOTES!B:E,4,FALSE)</f>
        <v>10</v>
      </c>
      <c r="J21" s="77" t="s">
        <v>419</v>
      </c>
      <c r="K21" s="32">
        <v>300</v>
      </c>
      <c r="L21" s="32">
        <v>300</v>
      </c>
      <c r="M21" s="108">
        <v>0</v>
      </c>
      <c r="N21" s="32"/>
      <c r="O21" s="32"/>
      <c r="P21" s="32"/>
    </row>
    <row r="22" spans="1:16">
      <c r="A22" s="57">
        <v>302</v>
      </c>
      <c r="B22" s="37">
        <v>43896</v>
      </c>
      <c r="C22" s="28">
        <v>43896</v>
      </c>
      <c r="D22" s="31" t="s">
        <v>1933</v>
      </c>
      <c r="E22" s="33">
        <v>21991074238</v>
      </c>
      <c r="F22" s="31" t="s">
        <v>11</v>
      </c>
      <c r="G22" s="31" t="s">
        <v>1224</v>
      </c>
      <c r="H22" s="77" t="s">
        <v>2215</v>
      </c>
      <c r="I22" s="31">
        <f>VLOOKUP(H22,PACOTES!B:E,4,FALSE)</f>
        <v>11</v>
      </c>
      <c r="J22" s="77" t="s">
        <v>419</v>
      </c>
      <c r="K22" s="32">
        <v>1800</v>
      </c>
      <c r="L22" s="32">
        <v>1800</v>
      </c>
      <c r="M22" s="108">
        <v>0</v>
      </c>
      <c r="N22" s="32"/>
      <c r="O22" s="32"/>
      <c r="P22" s="32"/>
    </row>
    <row r="23" spans="1:16">
      <c r="A23" s="57">
        <v>218</v>
      </c>
      <c r="B23" s="37">
        <v>43905</v>
      </c>
      <c r="C23" s="28">
        <v>43905</v>
      </c>
      <c r="D23" s="31" t="s">
        <v>1776</v>
      </c>
      <c r="E23" s="33">
        <v>21982103956</v>
      </c>
      <c r="F23" s="31" t="s">
        <v>10</v>
      </c>
      <c r="G23" s="31" t="s">
        <v>1513</v>
      </c>
      <c r="H23" s="77" t="s">
        <v>2221</v>
      </c>
      <c r="I23" s="31">
        <f>VLOOKUP(H23,PACOTES!B:E,4,FALSE)</f>
        <v>5</v>
      </c>
      <c r="J23" s="77" t="s">
        <v>419</v>
      </c>
      <c r="K23" s="32">
        <v>2600</v>
      </c>
      <c r="L23" s="32">
        <v>2600</v>
      </c>
      <c r="M23" s="108">
        <v>0</v>
      </c>
      <c r="N23" s="32"/>
      <c r="O23" s="32"/>
      <c r="P23" s="32"/>
    </row>
    <row r="24" spans="1:16" s="4" customFormat="1">
      <c r="A24" s="76" t="s">
        <v>2214</v>
      </c>
      <c r="B24" s="37">
        <v>43905</v>
      </c>
      <c r="C24" s="28">
        <v>43905</v>
      </c>
      <c r="D24" s="31" t="s">
        <v>1514</v>
      </c>
      <c r="E24" s="31">
        <v>21982103957</v>
      </c>
      <c r="F24" s="31" t="s">
        <v>7</v>
      </c>
      <c r="G24" s="31" t="s">
        <v>2135</v>
      </c>
      <c r="H24" s="77" t="s">
        <v>2214</v>
      </c>
      <c r="I24" s="31"/>
      <c r="J24" s="77" t="s">
        <v>2214</v>
      </c>
      <c r="K24" s="32">
        <v>1800</v>
      </c>
      <c r="L24" s="32">
        <v>1800</v>
      </c>
      <c r="M24" s="108">
        <v>0</v>
      </c>
      <c r="N24" s="104" t="s">
        <v>2214</v>
      </c>
      <c r="O24" s="32"/>
      <c r="P24" s="32"/>
    </row>
    <row r="25" spans="1:16">
      <c r="A25" s="57">
        <v>87</v>
      </c>
      <c r="B25" s="37">
        <v>43906</v>
      </c>
      <c r="C25" s="28">
        <v>43906</v>
      </c>
      <c r="D25" s="31" t="s">
        <v>1524</v>
      </c>
      <c r="E25" s="33">
        <v>21969168478</v>
      </c>
      <c r="F25" s="31" t="s">
        <v>10</v>
      </c>
      <c r="G25" s="31" t="s">
        <v>1525</v>
      </c>
      <c r="H25" s="77" t="s">
        <v>2215</v>
      </c>
      <c r="I25" s="31">
        <f>VLOOKUP(H25,PACOTES!B:E,4,FALSE)</f>
        <v>11</v>
      </c>
      <c r="J25" s="77" t="s">
        <v>419</v>
      </c>
      <c r="K25" s="32">
        <v>2800</v>
      </c>
      <c r="L25" s="32">
        <v>2800</v>
      </c>
      <c r="M25" s="108">
        <v>0</v>
      </c>
      <c r="N25" s="32"/>
      <c r="O25" s="32"/>
      <c r="P25" s="32"/>
    </row>
    <row r="26" spans="1:16">
      <c r="A26" s="57">
        <v>460</v>
      </c>
      <c r="B26" s="37">
        <v>43923</v>
      </c>
      <c r="C26" s="28">
        <v>43923</v>
      </c>
      <c r="D26" s="31" t="s">
        <v>1223</v>
      </c>
      <c r="E26" s="33">
        <v>11956070390</v>
      </c>
      <c r="F26" s="31" t="s">
        <v>11</v>
      </c>
      <c r="G26" s="31" t="s">
        <v>1224</v>
      </c>
      <c r="H26" s="77" t="s">
        <v>2216</v>
      </c>
      <c r="I26" s="31">
        <f>VLOOKUP(H26,PACOTES!B:E,4,FALSE)</f>
        <v>10</v>
      </c>
      <c r="J26" s="77" t="s">
        <v>419</v>
      </c>
      <c r="K26" s="32">
        <v>1800</v>
      </c>
      <c r="L26" s="32">
        <v>1800</v>
      </c>
      <c r="M26" s="108">
        <v>0</v>
      </c>
      <c r="N26" s="32"/>
      <c r="O26" s="32"/>
      <c r="P26" s="32"/>
    </row>
    <row r="27" spans="1:16">
      <c r="A27" s="57">
        <v>473</v>
      </c>
      <c r="B27" s="37">
        <v>43933</v>
      </c>
      <c r="C27" s="28">
        <v>43933</v>
      </c>
      <c r="D27" s="29" t="s">
        <v>1276</v>
      </c>
      <c r="E27" s="33">
        <v>12991620018</v>
      </c>
      <c r="F27" s="31" t="s">
        <v>11</v>
      </c>
      <c r="G27" s="31" t="s">
        <v>1277</v>
      </c>
      <c r="H27" s="77" t="s">
        <v>2217</v>
      </c>
      <c r="I27" s="31">
        <f>VLOOKUP(H27,PACOTES!B:E,4,FALSE)</f>
        <v>9</v>
      </c>
      <c r="J27" s="77" t="s">
        <v>419</v>
      </c>
      <c r="K27" s="32">
        <v>1677.26</v>
      </c>
      <c r="L27" s="32">
        <v>1677.26</v>
      </c>
      <c r="M27" s="108">
        <v>0</v>
      </c>
      <c r="N27" s="32"/>
      <c r="O27" s="32"/>
      <c r="P27" s="32"/>
    </row>
    <row r="28" spans="1:16">
      <c r="A28" s="57">
        <v>84</v>
      </c>
      <c r="B28" s="37">
        <v>43936</v>
      </c>
      <c r="C28" s="28">
        <v>43936</v>
      </c>
      <c r="D28" s="31" t="s">
        <v>1515</v>
      </c>
      <c r="E28" s="33">
        <v>21969059298</v>
      </c>
      <c r="F28" s="31" t="s">
        <v>10</v>
      </c>
      <c r="G28" s="31" t="s">
        <v>1505</v>
      </c>
      <c r="H28" s="77" t="s">
        <v>2221</v>
      </c>
      <c r="I28" s="31">
        <f>VLOOKUP(H28,PACOTES!B:E,4,FALSE)</f>
        <v>5</v>
      </c>
      <c r="J28" s="77" t="s">
        <v>419</v>
      </c>
      <c r="K28" s="32">
        <v>3200</v>
      </c>
      <c r="L28" s="32">
        <v>3200</v>
      </c>
      <c r="M28" s="108">
        <v>0</v>
      </c>
      <c r="N28" s="32"/>
      <c r="O28" s="32"/>
      <c r="P28" s="32"/>
    </row>
    <row r="29" spans="1:16">
      <c r="A29" s="57">
        <v>373</v>
      </c>
      <c r="B29" s="37">
        <v>43936</v>
      </c>
      <c r="C29" s="37">
        <v>43936</v>
      </c>
      <c r="D29" s="31" t="s">
        <v>2041</v>
      </c>
      <c r="E29" s="33">
        <v>21996931960</v>
      </c>
      <c r="F29" s="31" t="s">
        <v>11</v>
      </c>
      <c r="G29" s="31" t="s">
        <v>1224</v>
      </c>
      <c r="H29" s="77" t="s">
        <v>2215</v>
      </c>
      <c r="I29" s="31">
        <f>VLOOKUP(H29,PACOTES!B:E,4,FALSE)</f>
        <v>11</v>
      </c>
      <c r="J29" s="77" t="s">
        <v>419</v>
      </c>
      <c r="K29" s="32">
        <v>1800</v>
      </c>
      <c r="L29" s="32">
        <v>1800</v>
      </c>
      <c r="M29" s="108">
        <v>0</v>
      </c>
      <c r="N29" s="32"/>
      <c r="O29" s="32"/>
      <c r="P29" s="32"/>
    </row>
    <row r="30" spans="1:16">
      <c r="A30" s="57">
        <v>235</v>
      </c>
      <c r="B30" s="37">
        <v>43939</v>
      </c>
      <c r="C30" s="28">
        <v>43939</v>
      </c>
      <c r="D30" s="31" t="s">
        <v>1810</v>
      </c>
      <c r="E30" s="33">
        <v>21982812472</v>
      </c>
      <c r="F30" s="31" t="s">
        <v>11</v>
      </c>
      <c r="G30" s="31" t="s">
        <v>1474</v>
      </c>
      <c r="H30" s="77" t="s">
        <v>2217</v>
      </c>
      <c r="I30" s="31">
        <f>VLOOKUP(H30,PACOTES!B:E,4,FALSE)</f>
        <v>9</v>
      </c>
      <c r="J30" s="77" t="s">
        <v>419</v>
      </c>
      <c r="K30" s="32">
        <v>1800</v>
      </c>
      <c r="L30" s="32">
        <v>1800</v>
      </c>
      <c r="M30" s="108">
        <v>0</v>
      </c>
      <c r="N30" s="32"/>
      <c r="O30" s="32"/>
      <c r="P30" s="32"/>
    </row>
    <row r="31" spans="1:16">
      <c r="A31" s="57">
        <v>383</v>
      </c>
      <c r="B31" s="37">
        <v>43941</v>
      </c>
      <c r="C31" s="28">
        <v>43941</v>
      </c>
      <c r="D31" s="31" t="s">
        <v>1483</v>
      </c>
      <c r="E31" s="33">
        <v>21997751323</v>
      </c>
      <c r="F31" s="31" t="s">
        <v>11</v>
      </c>
      <c r="G31" s="31" t="s">
        <v>1474</v>
      </c>
      <c r="H31" s="77" t="s">
        <v>2218</v>
      </c>
      <c r="I31" s="31">
        <f>VLOOKUP(H31,PACOTES!B:E,4,FALSE)</f>
        <v>8</v>
      </c>
      <c r="J31" s="77" t="s">
        <v>419</v>
      </c>
      <c r="K31" s="32">
        <v>2000</v>
      </c>
      <c r="L31" s="32">
        <v>2000</v>
      </c>
      <c r="M31" s="108">
        <v>0</v>
      </c>
      <c r="N31" s="32"/>
      <c r="O31" s="32"/>
      <c r="P31" s="32"/>
    </row>
    <row r="32" spans="1:16">
      <c r="A32" s="57">
        <v>23</v>
      </c>
      <c r="B32" s="37">
        <v>43949</v>
      </c>
      <c r="C32" s="28">
        <v>43949</v>
      </c>
      <c r="D32" s="31" t="s">
        <v>1269</v>
      </c>
      <c r="E32" s="33">
        <v>21964317758</v>
      </c>
      <c r="F32" s="31" t="s">
        <v>11</v>
      </c>
      <c r="G32" s="31" t="s">
        <v>1224</v>
      </c>
      <c r="H32" s="77" t="s">
        <v>2216</v>
      </c>
      <c r="I32" s="31">
        <f>VLOOKUP(H32,PACOTES!B:E,4,FALSE)</f>
        <v>10</v>
      </c>
      <c r="J32" s="77" t="s">
        <v>419</v>
      </c>
      <c r="K32" s="32">
        <v>1800</v>
      </c>
      <c r="L32" s="32">
        <v>1800</v>
      </c>
      <c r="M32" s="108">
        <v>0</v>
      </c>
      <c r="N32" s="32"/>
      <c r="O32" s="32"/>
      <c r="P32" s="32"/>
    </row>
    <row r="33" spans="1:16">
      <c r="A33" s="57">
        <v>456</v>
      </c>
      <c r="B33" s="37">
        <v>43952</v>
      </c>
      <c r="C33" s="28">
        <v>43952</v>
      </c>
      <c r="D33" s="31" t="s">
        <v>1208</v>
      </c>
      <c r="E33" s="33">
        <v>11948772851</v>
      </c>
      <c r="F33" s="31" t="s">
        <v>12</v>
      </c>
      <c r="G33" s="31" t="s">
        <v>1191</v>
      </c>
      <c r="H33" s="77" t="s">
        <v>2215</v>
      </c>
      <c r="I33" s="31">
        <f>VLOOKUP(H33,PACOTES!B:E,4,FALSE)</f>
        <v>11</v>
      </c>
      <c r="J33" s="77" t="s">
        <v>419</v>
      </c>
      <c r="K33" s="32">
        <v>49.99</v>
      </c>
      <c r="L33" s="32">
        <v>49.99</v>
      </c>
      <c r="M33" s="108">
        <v>0</v>
      </c>
      <c r="N33" s="32"/>
      <c r="O33" s="32"/>
      <c r="P33" s="32"/>
    </row>
    <row r="34" spans="1:16">
      <c r="A34" s="57">
        <v>520</v>
      </c>
      <c r="B34" s="37">
        <v>43955</v>
      </c>
      <c r="C34" s="28">
        <v>43955</v>
      </c>
      <c r="D34" s="31" t="s">
        <v>1473</v>
      </c>
      <c r="E34" s="33">
        <v>53999438965</v>
      </c>
      <c r="F34" s="31" t="s">
        <v>11</v>
      </c>
      <c r="G34" s="31" t="s">
        <v>1474</v>
      </c>
      <c r="H34" s="77" t="s">
        <v>2215</v>
      </c>
      <c r="I34" s="31">
        <f>VLOOKUP(H34,PACOTES!B:E,4,FALSE)</f>
        <v>11</v>
      </c>
      <c r="J34" s="77" t="s">
        <v>419</v>
      </c>
      <c r="K34" s="32">
        <v>1800</v>
      </c>
      <c r="L34" s="32">
        <v>1800</v>
      </c>
      <c r="M34" s="108">
        <v>0</v>
      </c>
      <c r="N34" s="32"/>
      <c r="O34" s="32"/>
      <c r="P34" s="32"/>
    </row>
    <row r="35" spans="1:16" s="4" customFormat="1">
      <c r="A35" s="57">
        <v>127</v>
      </c>
      <c r="B35" s="37">
        <v>43957</v>
      </c>
      <c r="C35" s="28">
        <v>43957</v>
      </c>
      <c r="D35" s="31" t="s">
        <v>1410</v>
      </c>
      <c r="E35" s="33">
        <v>21972034226</v>
      </c>
      <c r="F35" s="31" t="s">
        <v>12</v>
      </c>
      <c r="G35" s="31" t="s">
        <v>1191</v>
      </c>
      <c r="H35" s="77" t="s">
        <v>2215</v>
      </c>
      <c r="I35" s="31">
        <f>VLOOKUP(H35,PACOTES!B:E,4,FALSE)</f>
        <v>11</v>
      </c>
      <c r="J35" s="77" t="s">
        <v>419</v>
      </c>
      <c r="K35" s="32">
        <v>250</v>
      </c>
      <c r="L35" s="32">
        <v>250</v>
      </c>
      <c r="M35" s="108">
        <v>0</v>
      </c>
      <c r="N35" s="32"/>
      <c r="O35" s="32"/>
      <c r="P35" s="32"/>
    </row>
    <row r="36" spans="1:16" s="4" customFormat="1">
      <c r="A36" s="57">
        <v>296</v>
      </c>
      <c r="B36" s="37">
        <v>43961</v>
      </c>
      <c r="C36" s="28">
        <v>43961</v>
      </c>
      <c r="D36" s="31" t="s">
        <v>1923</v>
      </c>
      <c r="E36" s="33">
        <v>21988995509</v>
      </c>
      <c r="F36" s="31" t="s">
        <v>11</v>
      </c>
      <c r="G36" s="31" t="s">
        <v>1216</v>
      </c>
      <c r="H36" s="77" t="s">
        <v>2216</v>
      </c>
      <c r="I36" s="31">
        <f>VLOOKUP(H36,PACOTES!B:E,4,FALSE)</f>
        <v>10</v>
      </c>
      <c r="J36" s="77" t="s">
        <v>419</v>
      </c>
      <c r="K36" s="32">
        <v>1800</v>
      </c>
      <c r="L36" s="32">
        <v>1800</v>
      </c>
      <c r="M36" s="108">
        <v>0</v>
      </c>
      <c r="N36" s="32"/>
      <c r="O36" s="32"/>
      <c r="P36" s="32"/>
    </row>
    <row r="37" spans="1:16" s="4" customFormat="1">
      <c r="A37" s="57">
        <v>296</v>
      </c>
      <c r="B37" s="37">
        <v>43962</v>
      </c>
      <c r="C37" s="28">
        <v>43962</v>
      </c>
      <c r="D37" s="31" t="s">
        <v>1923</v>
      </c>
      <c r="E37" s="31">
        <v>21988995509</v>
      </c>
      <c r="F37" s="31" t="s">
        <v>7</v>
      </c>
      <c r="G37" s="31" t="s">
        <v>1924</v>
      </c>
      <c r="H37" s="77" t="s">
        <v>2214</v>
      </c>
      <c r="I37" s="31"/>
      <c r="J37" s="77" t="s">
        <v>2214</v>
      </c>
      <c r="K37" s="32">
        <v>1100</v>
      </c>
      <c r="L37" s="32">
        <v>1100</v>
      </c>
      <c r="M37" s="108">
        <v>0</v>
      </c>
      <c r="N37" s="104" t="s">
        <v>2214</v>
      </c>
      <c r="O37" s="32"/>
      <c r="P37" s="32"/>
    </row>
    <row r="38" spans="1:16">
      <c r="A38" s="57">
        <v>519</v>
      </c>
      <c r="B38" s="37">
        <v>43969</v>
      </c>
      <c r="C38" s="28">
        <v>43969</v>
      </c>
      <c r="D38" s="31" t="s">
        <v>1472</v>
      </c>
      <c r="E38" s="33">
        <v>53999246991</v>
      </c>
      <c r="F38" s="31" t="s">
        <v>11</v>
      </c>
      <c r="G38" s="31" t="s">
        <v>1216</v>
      </c>
      <c r="H38" s="77" t="s">
        <v>2220</v>
      </c>
      <c r="I38" s="31">
        <f>VLOOKUP(H38,PACOTES!B:E,4,FALSE)</f>
        <v>6</v>
      </c>
      <c r="J38" s="77" t="s">
        <v>419</v>
      </c>
      <c r="K38" s="32">
        <v>1898</v>
      </c>
      <c r="L38" s="32">
        <v>1898</v>
      </c>
      <c r="M38" s="108">
        <v>0</v>
      </c>
      <c r="N38" s="32"/>
      <c r="O38" s="32"/>
      <c r="P38" s="32"/>
    </row>
    <row r="39" spans="1:16">
      <c r="A39" s="57">
        <v>143</v>
      </c>
      <c r="B39" s="37">
        <v>43974</v>
      </c>
      <c r="C39" s="28">
        <v>43974</v>
      </c>
      <c r="D39" s="31" t="s">
        <v>1662</v>
      </c>
      <c r="E39" s="33">
        <v>21973886316</v>
      </c>
      <c r="F39" s="31" t="s">
        <v>10</v>
      </c>
      <c r="G39" s="31" t="s">
        <v>1505</v>
      </c>
      <c r="H39" s="77" t="s">
        <v>2222</v>
      </c>
      <c r="I39" s="31">
        <f>VLOOKUP(H39,PACOTES!B:E,4,FALSE)</f>
        <v>4</v>
      </c>
      <c r="J39" s="77" t="s">
        <v>419</v>
      </c>
      <c r="K39" s="32">
        <v>3400</v>
      </c>
      <c r="L39" s="32">
        <v>3400</v>
      </c>
      <c r="M39" s="108">
        <v>0</v>
      </c>
      <c r="N39" s="32"/>
      <c r="O39" s="32"/>
      <c r="P39" s="32"/>
    </row>
    <row r="40" spans="1:16">
      <c r="A40" s="57">
        <v>458</v>
      </c>
      <c r="B40" s="37">
        <v>43980</v>
      </c>
      <c r="C40" s="28">
        <v>43980</v>
      </c>
      <c r="D40" s="31" t="s">
        <v>1215</v>
      </c>
      <c r="E40" s="33">
        <v>11951534397</v>
      </c>
      <c r="F40" s="31" t="s">
        <v>11</v>
      </c>
      <c r="G40" s="31" t="s">
        <v>1216</v>
      </c>
      <c r="H40" s="77" t="s">
        <v>2216</v>
      </c>
      <c r="I40" s="31">
        <f>VLOOKUP(H40,PACOTES!B:E,4,FALSE)</f>
        <v>10</v>
      </c>
      <c r="J40" s="77" t="s">
        <v>419</v>
      </c>
      <c r="K40" s="32">
        <v>1800</v>
      </c>
      <c r="L40" s="32">
        <v>1800</v>
      </c>
      <c r="M40" s="108">
        <v>0</v>
      </c>
      <c r="N40" s="32"/>
      <c r="O40" s="32"/>
      <c r="P40" s="32"/>
    </row>
    <row r="41" spans="1:16" s="4" customFormat="1">
      <c r="A41" s="57">
        <v>57</v>
      </c>
      <c r="B41" s="37">
        <v>43980</v>
      </c>
      <c r="C41" s="28">
        <v>43980</v>
      </c>
      <c r="D41" s="31" t="s">
        <v>1423</v>
      </c>
      <c r="E41" s="33">
        <v>21965262596</v>
      </c>
      <c r="F41" s="31" t="s">
        <v>11</v>
      </c>
      <c r="G41" s="31" t="s">
        <v>1216</v>
      </c>
      <c r="H41" s="77" t="s">
        <v>2220</v>
      </c>
      <c r="I41" s="31">
        <f>VLOOKUP(H41,PACOTES!B:E,4,FALSE)</f>
        <v>6</v>
      </c>
      <c r="J41" s="77" t="s">
        <v>419</v>
      </c>
      <c r="K41" s="32">
        <v>1600</v>
      </c>
      <c r="L41" s="32">
        <v>1600</v>
      </c>
      <c r="M41" s="108">
        <v>0</v>
      </c>
      <c r="N41" s="32"/>
      <c r="O41" s="32"/>
      <c r="P41" s="32"/>
    </row>
    <row r="42" spans="1:16" s="4" customFormat="1">
      <c r="A42" s="57">
        <v>37</v>
      </c>
      <c r="B42" s="37">
        <v>43987</v>
      </c>
      <c r="C42" s="28">
        <v>43987</v>
      </c>
      <c r="D42" s="31" t="s">
        <v>1328</v>
      </c>
      <c r="E42" s="33">
        <v>21964576728</v>
      </c>
      <c r="F42" s="31" t="s">
        <v>11</v>
      </c>
      <c r="G42" s="31" t="s">
        <v>1216</v>
      </c>
      <c r="H42" s="77" t="s">
        <v>2216</v>
      </c>
      <c r="I42" s="31">
        <f>VLOOKUP(H42,PACOTES!B:E,4,FALSE)</f>
        <v>10</v>
      </c>
      <c r="J42" s="77" t="s">
        <v>419</v>
      </c>
      <c r="K42" s="32">
        <v>1650</v>
      </c>
      <c r="L42" s="32">
        <v>1650</v>
      </c>
      <c r="M42" s="108">
        <v>0</v>
      </c>
      <c r="N42" s="32"/>
      <c r="O42" s="32"/>
      <c r="P42" s="32"/>
    </row>
    <row r="43" spans="1:16" s="4" customFormat="1">
      <c r="A43" s="57">
        <v>530</v>
      </c>
      <c r="B43" s="37">
        <v>43998</v>
      </c>
      <c r="C43" s="28">
        <v>43998</v>
      </c>
      <c r="D43" s="31" t="s">
        <v>1508</v>
      </c>
      <c r="E43" s="33">
        <v>61999621668</v>
      </c>
      <c r="F43" s="31" t="s">
        <v>11</v>
      </c>
      <c r="G43" s="31" t="s">
        <v>1509</v>
      </c>
      <c r="H43" s="77" t="s">
        <v>2216</v>
      </c>
      <c r="I43" s="31">
        <f>VLOOKUP(H43,PACOTES!B:E,4,FALSE)</f>
        <v>10</v>
      </c>
      <c r="J43" s="77" t="s">
        <v>419</v>
      </c>
      <c r="K43" s="32">
        <v>1664.1</v>
      </c>
      <c r="L43" s="32">
        <v>1664.1</v>
      </c>
      <c r="M43" s="108">
        <v>0</v>
      </c>
      <c r="N43" s="32"/>
      <c r="O43" s="32"/>
      <c r="P43" s="32"/>
    </row>
    <row r="44" spans="1:16" s="4" customFormat="1">
      <c r="A44" s="57">
        <v>36</v>
      </c>
      <c r="B44" s="37">
        <v>43999</v>
      </c>
      <c r="C44" s="28">
        <v>43999</v>
      </c>
      <c r="D44" s="31" t="s">
        <v>1325</v>
      </c>
      <c r="E44" s="33">
        <v>21964511513</v>
      </c>
      <c r="F44" s="31" t="s">
        <v>11</v>
      </c>
      <c r="G44" s="31" t="s">
        <v>1245</v>
      </c>
      <c r="H44" s="77" t="s">
        <v>2216</v>
      </c>
      <c r="I44" s="31">
        <f>VLOOKUP(H44,PACOTES!B:E,4,FALSE)</f>
        <v>10</v>
      </c>
      <c r="J44" s="77" t="s">
        <v>419</v>
      </c>
      <c r="K44" s="32">
        <v>1800</v>
      </c>
      <c r="L44" s="32">
        <v>1800</v>
      </c>
      <c r="M44" s="108">
        <v>0</v>
      </c>
      <c r="N44" s="32"/>
      <c r="O44" s="32"/>
      <c r="P44" s="32"/>
    </row>
    <row r="45" spans="1:16" s="4" customFormat="1">
      <c r="A45" s="57">
        <v>19</v>
      </c>
      <c r="B45" s="37">
        <v>44008</v>
      </c>
      <c r="C45" s="28">
        <v>44008</v>
      </c>
      <c r="D45" s="31" t="s">
        <v>1254</v>
      </c>
      <c r="E45" s="33">
        <v>21964240568</v>
      </c>
      <c r="F45" s="31" t="s">
        <v>11</v>
      </c>
      <c r="G45" s="31" t="s">
        <v>1255</v>
      </c>
      <c r="H45" s="77" t="s">
        <v>2216</v>
      </c>
      <c r="I45" s="31">
        <f>VLOOKUP(H45,PACOTES!B:E,4,FALSE)</f>
        <v>10</v>
      </c>
      <c r="J45" s="77" t="s">
        <v>419</v>
      </c>
      <c r="K45" s="32">
        <v>1800</v>
      </c>
      <c r="L45" s="32">
        <v>1800</v>
      </c>
      <c r="M45" s="108">
        <v>0</v>
      </c>
      <c r="N45" s="32"/>
      <c r="O45" s="32"/>
      <c r="P45" s="32"/>
    </row>
    <row r="46" spans="1:16" s="4" customFormat="1">
      <c r="A46" s="57">
        <v>525</v>
      </c>
      <c r="B46" s="37">
        <v>44011</v>
      </c>
      <c r="C46" s="28">
        <v>44011</v>
      </c>
      <c r="D46" s="31" t="s">
        <v>1491</v>
      </c>
      <c r="E46" s="33">
        <v>61992130037</v>
      </c>
      <c r="F46" s="31" t="s">
        <v>11</v>
      </c>
      <c r="G46" s="31" t="s">
        <v>1216</v>
      </c>
      <c r="H46" s="77" t="s">
        <v>2218</v>
      </c>
      <c r="I46" s="31">
        <f>VLOOKUP(H46,PACOTES!B:E,4,FALSE)</f>
        <v>8</v>
      </c>
      <c r="J46" s="77" t="s">
        <v>419</v>
      </c>
      <c r="K46" s="32">
        <v>1664.1</v>
      </c>
      <c r="L46" s="32">
        <v>1664.1</v>
      </c>
      <c r="M46" s="108">
        <v>0</v>
      </c>
      <c r="N46" s="32"/>
      <c r="O46" s="32"/>
      <c r="P46" s="32"/>
    </row>
    <row r="47" spans="1:16" s="4" customFormat="1">
      <c r="A47" s="57">
        <v>524</v>
      </c>
      <c r="B47" s="37">
        <v>44012</v>
      </c>
      <c r="C47" s="28">
        <v>44012</v>
      </c>
      <c r="D47" s="31" t="s">
        <v>1487</v>
      </c>
      <c r="E47" s="33">
        <v>61981519955</v>
      </c>
      <c r="F47" s="31" t="s">
        <v>11</v>
      </c>
      <c r="G47" s="31" t="s">
        <v>1327</v>
      </c>
      <c r="H47" s="77" t="s">
        <v>2216</v>
      </c>
      <c r="I47" s="31">
        <f>VLOOKUP(H47,PACOTES!B:E,4,FALSE)</f>
        <v>10</v>
      </c>
      <c r="J47" s="77" t="s">
        <v>419</v>
      </c>
      <c r="K47" s="32">
        <v>1664.1</v>
      </c>
      <c r="L47" s="32">
        <v>1664.1</v>
      </c>
      <c r="M47" s="108">
        <v>0</v>
      </c>
      <c r="N47" s="32"/>
      <c r="O47" s="32"/>
      <c r="P47" s="32"/>
    </row>
    <row r="48" spans="1:16" s="4" customFormat="1">
      <c r="A48" s="57">
        <v>558</v>
      </c>
      <c r="B48" s="37">
        <v>44013</v>
      </c>
      <c r="C48" s="28">
        <v>44013</v>
      </c>
      <c r="D48" s="31" t="s">
        <v>1603</v>
      </c>
      <c r="E48" s="33">
        <v>98991250312</v>
      </c>
      <c r="F48" s="31" t="s">
        <v>11</v>
      </c>
      <c r="G48" s="31" t="s">
        <v>1604</v>
      </c>
      <c r="H48" s="77" t="s">
        <v>2216</v>
      </c>
      <c r="I48" s="31">
        <f>VLOOKUP(H48,PACOTES!B:E,4,FALSE)</f>
        <v>10</v>
      </c>
      <c r="J48" s="77" t="s">
        <v>419</v>
      </c>
      <c r="K48" s="32">
        <v>1664.1</v>
      </c>
      <c r="L48" s="32">
        <v>1664.1</v>
      </c>
      <c r="M48" s="108">
        <v>0</v>
      </c>
      <c r="N48" s="32"/>
      <c r="O48" s="32"/>
      <c r="P48" s="32"/>
    </row>
    <row r="49" spans="1:16" s="4" customFormat="1">
      <c r="A49" s="57">
        <v>144</v>
      </c>
      <c r="B49" s="37">
        <v>44015</v>
      </c>
      <c r="C49" s="37">
        <v>44015</v>
      </c>
      <c r="D49" s="31" t="s">
        <v>1663</v>
      </c>
      <c r="E49" s="33">
        <v>21973932859</v>
      </c>
      <c r="F49" s="31" t="s">
        <v>10</v>
      </c>
      <c r="G49" s="31" t="s">
        <v>1664</v>
      </c>
      <c r="H49" s="77" t="s">
        <v>2220</v>
      </c>
      <c r="I49" s="31">
        <f>VLOOKUP(H49,PACOTES!B:E,4,FALSE)</f>
        <v>6</v>
      </c>
      <c r="J49" s="77" t="s">
        <v>419</v>
      </c>
      <c r="K49" s="32">
        <v>2800</v>
      </c>
      <c r="L49" s="32">
        <v>2800</v>
      </c>
      <c r="M49" s="108">
        <v>0</v>
      </c>
      <c r="N49" s="32"/>
      <c r="O49" s="32"/>
      <c r="P49" s="32"/>
    </row>
    <row r="50" spans="1:16" s="4" customFormat="1">
      <c r="A50" s="57">
        <v>523</v>
      </c>
      <c r="B50" s="37">
        <v>44021</v>
      </c>
      <c r="C50" s="28">
        <v>44021</v>
      </c>
      <c r="D50" s="31" t="s">
        <v>1484</v>
      </c>
      <c r="E50" s="33">
        <v>61981290202</v>
      </c>
      <c r="F50" s="31" t="s">
        <v>11</v>
      </c>
      <c r="G50" s="31" t="s">
        <v>1216</v>
      </c>
      <c r="H50" s="77" t="s">
        <v>2216</v>
      </c>
      <c r="I50" s="31">
        <f>VLOOKUP(H50,PACOTES!B:E,4,FALSE)</f>
        <v>10</v>
      </c>
      <c r="J50" s="77" t="s">
        <v>419</v>
      </c>
      <c r="K50" s="32">
        <v>1664.1</v>
      </c>
      <c r="L50" s="32">
        <v>1664.1</v>
      </c>
      <c r="M50" s="108">
        <v>0</v>
      </c>
      <c r="N50" s="32"/>
      <c r="O50" s="32"/>
      <c r="P50" s="32"/>
    </row>
    <row r="51" spans="1:16">
      <c r="A51" s="57">
        <v>471</v>
      </c>
      <c r="B51" s="37">
        <v>44029</v>
      </c>
      <c r="C51" s="28">
        <v>44029</v>
      </c>
      <c r="D51" s="31" t="s">
        <v>1270</v>
      </c>
      <c r="E51" s="33">
        <v>11999918958</v>
      </c>
      <c r="F51" s="31" t="s">
        <v>11</v>
      </c>
      <c r="G51" s="31" t="s">
        <v>1271</v>
      </c>
      <c r="H51" s="77" t="s">
        <v>2216</v>
      </c>
      <c r="I51" s="31">
        <f>VLOOKUP(H51,PACOTES!B:E,4,FALSE)</f>
        <v>10</v>
      </c>
      <c r="J51" s="77" t="s">
        <v>419</v>
      </c>
      <c r="K51" s="32">
        <v>1898</v>
      </c>
      <c r="L51" s="32">
        <v>1898</v>
      </c>
      <c r="M51" s="108">
        <v>0</v>
      </c>
      <c r="N51" s="32"/>
      <c r="O51" s="32"/>
      <c r="P51" s="32"/>
    </row>
    <row r="52" spans="1:16">
      <c r="A52" s="57">
        <v>27</v>
      </c>
      <c r="B52" s="37">
        <v>44032</v>
      </c>
      <c r="C52" s="28">
        <v>44032</v>
      </c>
      <c r="D52" s="31" t="s">
        <v>1285</v>
      </c>
      <c r="E52" s="33">
        <v>21964347351</v>
      </c>
      <c r="F52" s="31" t="s">
        <v>11</v>
      </c>
      <c r="G52" s="31" t="s">
        <v>1216</v>
      </c>
      <c r="H52" s="77" t="s">
        <v>2222</v>
      </c>
      <c r="I52" s="31">
        <f>VLOOKUP(H52,PACOTES!B:E,4,FALSE)</f>
        <v>4</v>
      </c>
      <c r="J52" s="77" t="s">
        <v>419</v>
      </c>
      <c r="K52" s="32">
        <v>1898</v>
      </c>
      <c r="L52" s="32">
        <v>1898</v>
      </c>
      <c r="M52" s="108">
        <v>0</v>
      </c>
      <c r="N52" s="32"/>
      <c r="O52" s="32"/>
      <c r="P52" s="32"/>
    </row>
    <row r="53" spans="1:16">
      <c r="A53" s="57">
        <v>218</v>
      </c>
      <c r="B53" s="37">
        <v>44035</v>
      </c>
      <c r="C53" s="28">
        <v>44035</v>
      </c>
      <c r="D53" s="31" t="s">
        <v>1776</v>
      </c>
      <c r="E53" s="31">
        <v>21982103956</v>
      </c>
      <c r="F53" s="31" t="s">
        <v>7</v>
      </c>
      <c r="G53" s="31" t="s">
        <v>1777</v>
      </c>
      <c r="H53" s="77" t="s">
        <v>2214</v>
      </c>
      <c r="I53" s="31"/>
      <c r="J53" s="77" t="s">
        <v>2214</v>
      </c>
      <c r="K53" s="32">
        <v>2000</v>
      </c>
      <c r="L53" s="32">
        <v>2000</v>
      </c>
      <c r="M53" s="108">
        <v>0</v>
      </c>
      <c r="N53" s="104" t="s">
        <v>2214</v>
      </c>
      <c r="O53" s="32"/>
      <c r="P53" s="32"/>
    </row>
    <row r="54" spans="1:16">
      <c r="A54" s="57">
        <v>9</v>
      </c>
      <c r="B54" s="37">
        <v>44050</v>
      </c>
      <c r="C54" s="28">
        <v>44050</v>
      </c>
      <c r="D54" s="31" t="s">
        <v>1211</v>
      </c>
      <c r="E54" s="33">
        <v>21964093257</v>
      </c>
      <c r="F54" s="31" t="s">
        <v>10</v>
      </c>
      <c r="G54" s="31" t="s">
        <v>1212</v>
      </c>
      <c r="H54" s="77" t="s">
        <v>2220</v>
      </c>
      <c r="I54" s="31">
        <f>VLOOKUP(H54,PACOTES!B:E,4,FALSE)</f>
        <v>6</v>
      </c>
      <c r="J54" s="77" t="s">
        <v>419</v>
      </c>
      <c r="K54" s="32">
        <v>10000</v>
      </c>
      <c r="L54" s="32">
        <v>10000</v>
      </c>
      <c r="M54" s="108">
        <v>0</v>
      </c>
      <c r="N54" s="32"/>
      <c r="O54" s="32"/>
      <c r="P54" s="32"/>
    </row>
    <row r="55" spans="1:16">
      <c r="A55" s="57">
        <v>111</v>
      </c>
      <c r="B55" s="37">
        <v>44051</v>
      </c>
      <c r="C55" s="28">
        <v>44051</v>
      </c>
      <c r="D55" s="31" t="s">
        <v>1607</v>
      </c>
      <c r="E55" s="33">
        <v>21970366752</v>
      </c>
      <c r="F55" s="31" t="s">
        <v>10</v>
      </c>
      <c r="G55" s="31" t="s">
        <v>1505</v>
      </c>
      <c r="H55" s="77" t="s">
        <v>2217</v>
      </c>
      <c r="I55" s="31">
        <f>VLOOKUP(H55,PACOTES!B:E,4,FALSE)</f>
        <v>9</v>
      </c>
      <c r="J55" s="77" t="s">
        <v>419</v>
      </c>
      <c r="K55" s="32">
        <v>3400</v>
      </c>
      <c r="L55" s="32">
        <v>3400</v>
      </c>
      <c r="M55" s="108">
        <v>0</v>
      </c>
      <c r="N55" s="32"/>
      <c r="O55" s="32"/>
      <c r="P55" s="32"/>
    </row>
    <row r="56" spans="1:16">
      <c r="A56" s="57">
        <v>326</v>
      </c>
      <c r="B56" s="37">
        <v>44057</v>
      </c>
      <c r="C56" s="28">
        <v>44057</v>
      </c>
      <c r="D56" s="31" t="s">
        <v>1970</v>
      </c>
      <c r="E56" s="33">
        <v>21992965699</v>
      </c>
      <c r="F56" s="31" t="s">
        <v>11</v>
      </c>
      <c r="G56" s="31" t="s">
        <v>1245</v>
      </c>
      <c r="H56" s="77" t="s">
        <v>2217</v>
      </c>
      <c r="I56" s="31">
        <f>VLOOKUP(H56,PACOTES!B:E,4,FALSE)</f>
        <v>9</v>
      </c>
      <c r="J56" s="77" t="s">
        <v>419</v>
      </c>
      <c r="K56" s="32">
        <v>1800</v>
      </c>
      <c r="L56" s="32">
        <v>1800</v>
      </c>
      <c r="M56" s="108">
        <v>0</v>
      </c>
      <c r="N56" s="32"/>
      <c r="O56" s="32"/>
      <c r="P56" s="32"/>
    </row>
    <row r="57" spans="1:16">
      <c r="A57" s="57">
        <v>330</v>
      </c>
      <c r="B57" s="37">
        <v>44057</v>
      </c>
      <c r="C57" s="28">
        <v>44057</v>
      </c>
      <c r="D57" s="31" t="s">
        <v>1976</v>
      </c>
      <c r="E57" s="33">
        <v>21993243018</v>
      </c>
      <c r="F57" s="31" t="s">
        <v>10</v>
      </c>
      <c r="G57" s="31" t="s">
        <v>1664</v>
      </c>
      <c r="H57" s="77" t="s">
        <v>2220</v>
      </c>
      <c r="I57" s="31">
        <f>VLOOKUP(H57,PACOTES!B:E,4,FALSE)</f>
        <v>6</v>
      </c>
      <c r="J57" s="77" t="s">
        <v>419</v>
      </c>
      <c r="K57" s="32">
        <v>2800</v>
      </c>
      <c r="L57" s="32">
        <v>2800</v>
      </c>
      <c r="M57" s="108">
        <v>0</v>
      </c>
      <c r="N57" s="32"/>
      <c r="O57" s="32"/>
      <c r="P57" s="32"/>
    </row>
    <row r="58" spans="1:16">
      <c r="A58" s="57">
        <v>451</v>
      </c>
      <c r="B58" s="37">
        <v>44068</v>
      </c>
      <c r="C58" s="28">
        <v>44068</v>
      </c>
      <c r="D58" s="31" t="s">
        <v>1190</v>
      </c>
      <c r="E58" s="33">
        <v>11943869962</v>
      </c>
      <c r="F58" s="31" t="s">
        <v>12</v>
      </c>
      <c r="G58" s="31" t="s">
        <v>1191</v>
      </c>
      <c r="H58" s="77" t="s">
        <v>2216</v>
      </c>
      <c r="I58" s="31">
        <f>VLOOKUP(H58,PACOTES!B:E,4,FALSE)</f>
        <v>10</v>
      </c>
      <c r="J58" s="77" t="s">
        <v>419</v>
      </c>
      <c r="K58" s="32">
        <v>499</v>
      </c>
      <c r="L58" s="32">
        <v>499</v>
      </c>
      <c r="M58" s="108">
        <v>0</v>
      </c>
      <c r="N58" s="32"/>
      <c r="O58" s="32"/>
      <c r="P58" s="32"/>
    </row>
    <row r="59" spans="1:16">
      <c r="A59" s="57">
        <v>380</v>
      </c>
      <c r="B59" s="37">
        <v>44068</v>
      </c>
      <c r="C59" s="28">
        <v>44068</v>
      </c>
      <c r="D59" s="31" t="s">
        <v>2050</v>
      </c>
      <c r="E59" s="33">
        <v>21997516647</v>
      </c>
      <c r="F59" s="31" t="s">
        <v>11</v>
      </c>
      <c r="G59" s="31" t="s">
        <v>1394</v>
      </c>
      <c r="H59" s="77" t="s">
        <v>2218</v>
      </c>
      <c r="I59" s="31">
        <f>VLOOKUP(H59,PACOTES!B:E,4,FALSE)</f>
        <v>8</v>
      </c>
      <c r="J59" s="77" t="s">
        <v>419</v>
      </c>
      <c r="K59" s="32">
        <v>1457.02</v>
      </c>
      <c r="L59" s="32">
        <v>1457.02</v>
      </c>
      <c r="M59" s="108">
        <v>0</v>
      </c>
      <c r="N59" s="32"/>
      <c r="O59" s="32"/>
      <c r="P59" s="32"/>
    </row>
    <row r="60" spans="1:16">
      <c r="A60" s="57">
        <v>389</v>
      </c>
      <c r="B60" s="37">
        <v>44068</v>
      </c>
      <c r="C60" s="28">
        <v>44068</v>
      </c>
      <c r="D60" s="31" t="s">
        <v>2056</v>
      </c>
      <c r="E60" s="33">
        <v>21998594731</v>
      </c>
      <c r="F60" s="31" t="s">
        <v>11</v>
      </c>
      <c r="G60" s="31" t="s">
        <v>1245</v>
      </c>
      <c r="H60" s="77" t="s">
        <v>2217</v>
      </c>
      <c r="I60" s="31">
        <f>VLOOKUP(H60,PACOTES!B:E,4,FALSE)</f>
        <v>9</v>
      </c>
      <c r="J60" s="77" t="s">
        <v>419</v>
      </c>
      <c r="K60" s="32">
        <v>1899</v>
      </c>
      <c r="L60" s="32">
        <v>1899</v>
      </c>
      <c r="M60" s="108">
        <v>0</v>
      </c>
      <c r="N60" s="32"/>
      <c r="O60" s="32"/>
      <c r="P60" s="32"/>
    </row>
    <row r="61" spans="1:16">
      <c r="A61" s="57">
        <v>117</v>
      </c>
      <c r="B61" s="37">
        <v>44076</v>
      </c>
      <c r="C61" s="28">
        <v>44076</v>
      </c>
      <c r="D61" s="31" t="s">
        <v>1619</v>
      </c>
      <c r="E61" s="33">
        <v>21970422973</v>
      </c>
      <c r="F61" s="31" t="s">
        <v>11</v>
      </c>
      <c r="G61" s="31" t="s">
        <v>1620</v>
      </c>
      <c r="H61" s="77" t="s">
        <v>2218</v>
      </c>
      <c r="I61" s="31">
        <f>VLOOKUP(H61,PACOTES!B:E,4,FALSE)</f>
        <v>8</v>
      </c>
      <c r="J61" s="77" t="s">
        <v>419</v>
      </c>
      <c r="K61" s="32">
        <v>1899</v>
      </c>
      <c r="L61" s="32">
        <v>1899</v>
      </c>
      <c r="M61" s="108">
        <v>0</v>
      </c>
      <c r="N61" s="32"/>
      <c r="O61" s="32"/>
      <c r="P61" s="32"/>
    </row>
    <row r="62" spans="1:16">
      <c r="A62" s="57">
        <v>396</v>
      </c>
      <c r="B62" s="37">
        <v>44076</v>
      </c>
      <c r="C62" s="28">
        <v>44076</v>
      </c>
      <c r="D62" s="31" t="s">
        <v>2064</v>
      </c>
      <c r="E62" s="33">
        <v>21998865331</v>
      </c>
      <c r="F62" s="31" t="s">
        <v>10</v>
      </c>
      <c r="G62" s="31" t="s">
        <v>1505</v>
      </c>
      <c r="H62" s="77" t="s">
        <v>2216</v>
      </c>
      <c r="I62" s="31">
        <f>VLOOKUP(H62,PACOTES!B:E,4,FALSE)</f>
        <v>10</v>
      </c>
      <c r="J62" s="77" t="s">
        <v>419</v>
      </c>
      <c r="K62" s="32">
        <v>3000</v>
      </c>
      <c r="L62" s="32">
        <v>3000</v>
      </c>
      <c r="M62" s="108">
        <v>0</v>
      </c>
      <c r="N62" s="32"/>
      <c r="O62" s="32"/>
      <c r="P62" s="32"/>
    </row>
    <row r="63" spans="1:16">
      <c r="A63" s="57">
        <v>499</v>
      </c>
      <c r="B63" s="37">
        <v>44077</v>
      </c>
      <c r="C63" s="28">
        <v>44077</v>
      </c>
      <c r="D63" s="31" t="s">
        <v>1393</v>
      </c>
      <c r="E63" s="33">
        <v>35991733248</v>
      </c>
      <c r="F63" s="31" t="s">
        <v>11</v>
      </c>
      <c r="G63" s="31" t="s">
        <v>1394</v>
      </c>
      <c r="H63" s="77" t="s">
        <v>2216</v>
      </c>
      <c r="I63" s="31">
        <f>VLOOKUP(H63,PACOTES!B:E,4,FALSE)</f>
        <v>10</v>
      </c>
      <c r="J63" s="77" t="s">
        <v>419</v>
      </c>
      <c r="K63" s="32">
        <v>1577.71</v>
      </c>
      <c r="L63" s="32">
        <v>1577.71</v>
      </c>
      <c r="M63" s="108">
        <v>0</v>
      </c>
      <c r="N63" s="32"/>
      <c r="O63" s="32"/>
      <c r="P63" s="32"/>
    </row>
    <row r="64" spans="1:16">
      <c r="A64" s="57">
        <v>182</v>
      </c>
      <c r="B64" s="37">
        <v>44086</v>
      </c>
      <c r="C64" s="28">
        <v>44086</v>
      </c>
      <c r="D64" s="31" t="s">
        <v>1718</v>
      </c>
      <c r="E64" s="33">
        <v>21979838250</v>
      </c>
      <c r="F64" s="31" t="s">
        <v>10</v>
      </c>
      <c r="G64" s="31" t="s">
        <v>1542</v>
      </c>
      <c r="H64" s="77" t="s">
        <v>2217</v>
      </c>
      <c r="I64" s="31">
        <f>VLOOKUP(H64,PACOTES!B:E,4,FALSE)</f>
        <v>9</v>
      </c>
      <c r="J64" s="77" t="s">
        <v>419</v>
      </c>
      <c r="K64" s="32">
        <v>2800</v>
      </c>
      <c r="L64" s="32">
        <v>2800</v>
      </c>
      <c r="M64" s="108">
        <v>0</v>
      </c>
      <c r="N64" s="32"/>
      <c r="O64" s="32"/>
      <c r="P64" s="32"/>
    </row>
    <row r="65" spans="1:16">
      <c r="A65" s="76" t="s">
        <v>2214</v>
      </c>
      <c r="B65" s="37">
        <v>44088</v>
      </c>
      <c r="C65" s="28">
        <v>44088</v>
      </c>
      <c r="D65" s="31" t="s">
        <v>2139</v>
      </c>
      <c r="E65" s="31">
        <v>21985597235</v>
      </c>
      <c r="F65" s="31" t="s">
        <v>7</v>
      </c>
      <c r="G65" s="31" t="s">
        <v>1838</v>
      </c>
      <c r="H65" s="77" t="s">
        <v>2214</v>
      </c>
      <c r="I65" s="31"/>
      <c r="J65" s="77" t="s">
        <v>2214</v>
      </c>
      <c r="K65" s="32">
        <v>2800</v>
      </c>
      <c r="L65" s="32">
        <v>2800</v>
      </c>
      <c r="M65" s="108">
        <v>0</v>
      </c>
      <c r="N65" s="104" t="s">
        <v>2214</v>
      </c>
      <c r="O65" s="32"/>
      <c r="P65" s="32"/>
    </row>
    <row r="66" spans="1:16">
      <c r="A66" s="57">
        <v>500</v>
      </c>
      <c r="B66" s="37">
        <v>44092</v>
      </c>
      <c r="C66" s="28">
        <v>44092</v>
      </c>
      <c r="D66" s="31" t="s">
        <v>1397</v>
      </c>
      <c r="E66" s="33">
        <v>35999650530</v>
      </c>
      <c r="F66" s="31" t="s">
        <v>11</v>
      </c>
      <c r="G66" s="31" t="s">
        <v>1245</v>
      </c>
      <c r="H66" s="77" t="s">
        <v>2216</v>
      </c>
      <c r="I66" s="31">
        <f>VLOOKUP(H66,PACOTES!B:E,4,FALSE)</f>
        <v>10</v>
      </c>
      <c r="J66" s="77" t="s">
        <v>419</v>
      </c>
      <c r="K66" s="32">
        <v>1556.82</v>
      </c>
      <c r="L66" s="32">
        <v>1556.82</v>
      </c>
      <c r="M66" s="108">
        <v>0</v>
      </c>
      <c r="N66" s="32"/>
      <c r="O66" s="32"/>
      <c r="P66" s="32"/>
    </row>
    <row r="67" spans="1:16">
      <c r="A67" s="57">
        <v>301</v>
      </c>
      <c r="B67" s="37">
        <v>44092</v>
      </c>
      <c r="C67" s="28">
        <v>44092</v>
      </c>
      <c r="D67" s="31" t="s">
        <v>1931</v>
      </c>
      <c r="E67" s="33">
        <v>21990842685</v>
      </c>
      <c r="F67" s="31" t="s">
        <v>10</v>
      </c>
      <c r="G67" s="31" t="s">
        <v>1932</v>
      </c>
      <c r="H67" s="77" t="s">
        <v>2216</v>
      </c>
      <c r="I67" s="31">
        <f>VLOOKUP(H67,PACOTES!B:E,4,FALSE)</f>
        <v>10</v>
      </c>
      <c r="J67" s="77" t="s">
        <v>419</v>
      </c>
      <c r="K67" s="32">
        <v>2900</v>
      </c>
      <c r="L67" s="32">
        <v>2900</v>
      </c>
      <c r="M67" s="108">
        <v>0</v>
      </c>
      <c r="N67" s="32"/>
      <c r="O67" s="32"/>
      <c r="P67" s="32"/>
    </row>
    <row r="68" spans="1:16">
      <c r="A68" s="57">
        <v>61</v>
      </c>
      <c r="B68" s="37">
        <v>44093</v>
      </c>
      <c r="C68" s="28">
        <v>44093</v>
      </c>
      <c r="D68" s="31" t="s">
        <v>1436</v>
      </c>
      <c r="E68" s="33">
        <v>21965713227</v>
      </c>
      <c r="F68" s="31" t="s">
        <v>11</v>
      </c>
      <c r="G68" s="31" t="s">
        <v>1437</v>
      </c>
      <c r="H68" s="77" t="s">
        <v>2216</v>
      </c>
      <c r="I68" s="31">
        <f>VLOOKUP(H68,PACOTES!B:E,4,FALSE)</f>
        <v>10</v>
      </c>
      <c r="J68" s="77" t="s">
        <v>419</v>
      </c>
      <c r="K68" s="32">
        <v>1750</v>
      </c>
      <c r="L68" s="32">
        <v>1750</v>
      </c>
      <c r="M68" s="108">
        <v>0</v>
      </c>
      <c r="N68" s="32"/>
      <c r="O68" s="32"/>
      <c r="P68" s="32"/>
    </row>
    <row r="69" spans="1:16">
      <c r="A69" s="57">
        <v>465</v>
      </c>
      <c r="B69" s="37">
        <v>44102</v>
      </c>
      <c r="C69" s="28">
        <v>44102</v>
      </c>
      <c r="D69" s="31" t="s">
        <v>1244</v>
      </c>
      <c r="E69" s="33">
        <v>11982765973</v>
      </c>
      <c r="F69" s="31" t="s">
        <v>11</v>
      </c>
      <c r="G69" s="31" t="s">
        <v>1245</v>
      </c>
      <c r="H69" s="77" t="s">
        <v>2220</v>
      </c>
      <c r="I69" s="31">
        <f>VLOOKUP(H69,PACOTES!B:E,4,FALSE)</f>
        <v>6</v>
      </c>
      <c r="J69" s="77" t="s">
        <v>419</v>
      </c>
      <c r="K69" s="32">
        <v>1531.26</v>
      </c>
      <c r="L69" s="32">
        <v>1531.26</v>
      </c>
      <c r="M69" s="108">
        <v>0</v>
      </c>
      <c r="N69" s="32"/>
      <c r="O69" s="32"/>
      <c r="P69" s="32"/>
    </row>
    <row r="70" spans="1:16">
      <c r="A70" s="57">
        <v>513</v>
      </c>
      <c r="B70" s="37">
        <v>44110</v>
      </c>
      <c r="C70" s="28">
        <v>44110</v>
      </c>
      <c r="D70" s="31" t="s">
        <v>1447</v>
      </c>
      <c r="E70" s="33">
        <v>47999761230</v>
      </c>
      <c r="F70" s="31" t="s">
        <v>11</v>
      </c>
      <c r="G70" s="31" t="s">
        <v>1327</v>
      </c>
      <c r="H70" s="77" t="s">
        <v>2216</v>
      </c>
      <c r="I70" s="31">
        <f>VLOOKUP(H70,PACOTES!B:E,4,FALSE)</f>
        <v>10</v>
      </c>
      <c r="J70" s="77" t="s">
        <v>419</v>
      </c>
      <c r="K70" s="32">
        <v>1573.98</v>
      </c>
      <c r="L70" s="32">
        <v>1573.98</v>
      </c>
      <c r="M70" s="108">
        <v>0</v>
      </c>
      <c r="N70" s="32"/>
      <c r="O70" s="32"/>
      <c r="P70" s="32"/>
    </row>
    <row r="71" spans="1:16">
      <c r="A71" s="57">
        <v>194</v>
      </c>
      <c r="B71" s="37">
        <v>44114</v>
      </c>
      <c r="C71" s="28">
        <v>44114</v>
      </c>
      <c r="D71" s="31" t="s">
        <v>1739</v>
      </c>
      <c r="E71" s="33">
        <v>21980901638</v>
      </c>
      <c r="F71" s="31" t="s">
        <v>10</v>
      </c>
      <c r="G71" s="31" t="s">
        <v>1740</v>
      </c>
      <c r="H71" s="77" t="s">
        <v>2219</v>
      </c>
      <c r="I71" s="31">
        <f>VLOOKUP(H71,PACOTES!B:E,4,FALSE)</f>
        <v>7</v>
      </c>
      <c r="J71" s="77" t="s">
        <v>419</v>
      </c>
      <c r="K71" s="32">
        <v>2950</v>
      </c>
      <c r="L71" s="32">
        <v>2950</v>
      </c>
      <c r="M71" s="108">
        <v>0</v>
      </c>
      <c r="N71" s="32"/>
      <c r="O71" s="32"/>
      <c r="P71" s="32"/>
    </row>
    <row r="72" spans="1:16">
      <c r="A72" s="76" t="s">
        <v>2214</v>
      </c>
      <c r="B72" s="37">
        <v>44114</v>
      </c>
      <c r="C72" s="28">
        <v>44114</v>
      </c>
      <c r="D72" s="31" t="s">
        <v>2140</v>
      </c>
      <c r="E72" s="31" t="s">
        <v>13</v>
      </c>
      <c r="F72" s="31" t="s">
        <v>7</v>
      </c>
      <c r="G72" s="31" t="s">
        <v>2141</v>
      </c>
      <c r="H72" s="77" t="s">
        <v>2214</v>
      </c>
      <c r="I72" s="31"/>
      <c r="J72" s="77" t="s">
        <v>2214</v>
      </c>
      <c r="K72" s="32">
        <v>999</v>
      </c>
      <c r="L72" s="32">
        <v>999</v>
      </c>
      <c r="M72" s="108">
        <v>0</v>
      </c>
      <c r="N72" s="104" t="s">
        <v>2214</v>
      </c>
      <c r="O72" s="32"/>
      <c r="P72" s="32"/>
    </row>
    <row r="73" spans="1:16">
      <c r="A73" s="57">
        <v>196</v>
      </c>
      <c r="B73" s="37">
        <v>44119</v>
      </c>
      <c r="C73" s="28">
        <v>44119</v>
      </c>
      <c r="D73" s="31" t="s">
        <v>1745</v>
      </c>
      <c r="E73" s="33">
        <v>21981049274</v>
      </c>
      <c r="F73" s="31" t="s">
        <v>11</v>
      </c>
      <c r="G73" s="31" t="s">
        <v>1746</v>
      </c>
      <c r="H73" s="77" t="s">
        <v>2216</v>
      </c>
      <c r="I73" s="31">
        <f>VLOOKUP(H73,PACOTES!B:E,4,FALSE)</f>
        <v>10</v>
      </c>
      <c r="J73" s="77" t="s">
        <v>419</v>
      </c>
      <c r="K73" s="32">
        <v>1551.26</v>
      </c>
      <c r="L73" s="32">
        <v>1551.26</v>
      </c>
      <c r="M73" s="108">
        <v>0</v>
      </c>
      <c r="N73" s="32"/>
      <c r="O73" s="32"/>
      <c r="P73" s="32"/>
    </row>
    <row r="74" spans="1:16">
      <c r="A74" s="57">
        <v>193</v>
      </c>
      <c r="B74" s="37">
        <v>44130</v>
      </c>
      <c r="C74" s="28">
        <v>44130</v>
      </c>
      <c r="D74" s="31" t="s">
        <v>1410</v>
      </c>
      <c r="E74" s="33">
        <v>21980864761</v>
      </c>
      <c r="F74" s="31" t="s">
        <v>11</v>
      </c>
      <c r="G74" s="31" t="s">
        <v>1738</v>
      </c>
      <c r="H74" s="77" t="s">
        <v>2217</v>
      </c>
      <c r="I74" s="31">
        <f>VLOOKUP(H74,PACOTES!B:E,4,FALSE)</f>
        <v>9</v>
      </c>
      <c r="J74" s="77" t="s">
        <v>419</v>
      </c>
      <c r="K74" s="32">
        <v>1531.26</v>
      </c>
      <c r="L74" s="32">
        <v>1531.26</v>
      </c>
      <c r="M74" s="108">
        <v>0</v>
      </c>
      <c r="N74" s="32"/>
      <c r="O74" s="32"/>
      <c r="P74" s="32"/>
    </row>
    <row r="75" spans="1:16">
      <c r="A75" s="57">
        <v>85</v>
      </c>
      <c r="B75" s="37">
        <v>44131</v>
      </c>
      <c r="C75" s="28">
        <v>44131</v>
      </c>
      <c r="D75" s="31" t="s">
        <v>1518</v>
      </c>
      <c r="E75" s="33">
        <v>21969101510</v>
      </c>
      <c r="F75" s="31" t="s">
        <v>11</v>
      </c>
      <c r="G75" s="31" t="s">
        <v>1519</v>
      </c>
      <c r="H75" s="77" t="s">
        <v>2216</v>
      </c>
      <c r="I75" s="31">
        <f>VLOOKUP(H75,PACOTES!B:E,4,FALSE)</f>
        <v>10</v>
      </c>
      <c r="J75" s="77" t="s">
        <v>419</v>
      </c>
      <c r="K75" s="32">
        <v>0</v>
      </c>
      <c r="L75" s="32" t="s">
        <v>13</v>
      </c>
      <c r="M75" s="108">
        <v>0</v>
      </c>
      <c r="N75" s="32"/>
      <c r="O75" s="32"/>
      <c r="P75" s="32"/>
    </row>
    <row r="76" spans="1:16">
      <c r="A76" s="57" t="s">
        <v>13</v>
      </c>
      <c r="B76" s="37">
        <v>44136</v>
      </c>
      <c r="C76" s="28">
        <v>44136</v>
      </c>
      <c r="D76" s="103" t="s">
        <v>2142</v>
      </c>
      <c r="E76" s="31" t="s">
        <v>13</v>
      </c>
      <c r="F76" s="31" t="s">
        <v>10</v>
      </c>
      <c r="G76" s="31" t="s">
        <v>2143</v>
      </c>
      <c r="H76" s="77" t="s">
        <v>2216</v>
      </c>
      <c r="I76" s="31">
        <f>VLOOKUP(H76,PACOTES!B:E,4,FALSE)</f>
        <v>10</v>
      </c>
      <c r="J76" s="77" t="s">
        <v>419</v>
      </c>
      <c r="K76" s="32">
        <v>2600</v>
      </c>
      <c r="L76" s="32">
        <v>2600</v>
      </c>
      <c r="M76" s="108">
        <v>0</v>
      </c>
      <c r="N76" s="32"/>
      <c r="O76" s="32"/>
      <c r="P76" s="32"/>
    </row>
    <row r="77" spans="1:16">
      <c r="A77" s="57">
        <v>202</v>
      </c>
      <c r="B77" s="37">
        <v>44152</v>
      </c>
      <c r="C77" s="28">
        <v>44152</v>
      </c>
      <c r="D77" s="31" t="s">
        <v>1753</v>
      </c>
      <c r="E77" s="33">
        <v>21981368207</v>
      </c>
      <c r="F77" s="31" t="s">
        <v>11</v>
      </c>
      <c r="G77" s="31" t="s">
        <v>1754</v>
      </c>
      <c r="H77" s="77" t="s">
        <v>2216</v>
      </c>
      <c r="I77" s="31">
        <f>VLOOKUP(H77,PACOTES!B:E,4,FALSE)</f>
        <v>10</v>
      </c>
      <c r="J77" s="77" t="s">
        <v>419</v>
      </c>
      <c r="K77" s="32">
        <v>1721</v>
      </c>
      <c r="L77" s="32">
        <v>1721</v>
      </c>
      <c r="M77" s="108">
        <v>0</v>
      </c>
      <c r="N77" s="32"/>
      <c r="O77" s="32"/>
      <c r="P77" s="32"/>
    </row>
    <row r="78" spans="1:16">
      <c r="A78" s="57">
        <v>569</v>
      </c>
      <c r="B78" s="37">
        <v>44153</v>
      </c>
      <c r="C78" s="28">
        <v>44153</v>
      </c>
      <c r="D78" s="31" t="s">
        <v>2144</v>
      </c>
      <c r="E78" s="31">
        <v>21995146114</v>
      </c>
      <c r="F78" s="31" t="s">
        <v>11</v>
      </c>
      <c r="G78" s="31" t="s">
        <v>1327</v>
      </c>
      <c r="H78" s="77" t="s">
        <v>2216</v>
      </c>
      <c r="I78" s="31">
        <f>VLOOKUP(H78,PACOTES!B:E,4,FALSE)</f>
        <v>10</v>
      </c>
      <c r="J78" s="77" t="s">
        <v>419</v>
      </c>
      <c r="K78" s="32">
        <v>1800</v>
      </c>
      <c r="L78" s="32">
        <v>1800</v>
      </c>
      <c r="M78" s="108">
        <v>0</v>
      </c>
      <c r="N78" s="32"/>
      <c r="O78" s="32"/>
      <c r="P78" s="32"/>
    </row>
    <row r="79" spans="1:16">
      <c r="A79" s="57">
        <v>150</v>
      </c>
      <c r="B79" s="37">
        <v>44159</v>
      </c>
      <c r="C79" s="28">
        <v>44159</v>
      </c>
      <c r="D79" s="31" t="s">
        <v>1674</v>
      </c>
      <c r="E79" s="33">
        <v>21974305682</v>
      </c>
      <c r="F79" s="31" t="s">
        <v>11</v>
      </c>
      <c r="G79" s="31" t="s">
        <v>1675</v>
      </c>
      <c r="H79" s="77" t="s">
        <v>2225</v>
      </c>
      <c r="I79" s="31">
        <f>VLOOKUP(H79,PACOTES!B:E,4,FALSE)</f>
        <v>1</v>
      </c>
      <c r="J79" s="77" t="s">
        <v>419</v>
      </c>
      <c r="K79" s="32">
        <v>0</v>
      </c>
      <c r="L79" s="32" t="s">
        <v>13</v>
      </c>
      <c r="M79" s="108">
        <v>0</v>
      </c>
      <c r="N79" s="32"/>
      <c r="O79" s="32"/>
      <c r="P79" s="32"/>
    </row>
    <row r="80" spans="1:16">
      <c r="A80" s="57">
        <v>559</v>
      </c>
      <c r="B80" s="37">
        <v>44162</v>
      </c>
      <c r="C80" s="28">
        <v>44162</v>
      </c>
      <c r="D80" s="31" t="s">
        <v>1608</v>
      </c>
      <c r="E80" s="33">
        <v>98992200383</v>
      </c>
      <c r="F80" s="31" t="s">
        <v>11</v>
      </c>
      <c r="G80" s="31" t="s">
        <v>1609</v>
      </c>
      <c r="H80" s="77" t="s">
        <v>2217</v>
      </c>
      <c r="I80" s="31">
        <f>VLOOKUP(H80,PACOTES!B:E,4,FALSE)</f>
        <v>9</v>
      </c>
      <c r="J80" s="77" t="s">
        <v>419</v>
      </c>
      <c r="K80" s="32">
        <v>1555.98</v>
      </c>
      <c r="L80" s="32">
        <v>1555.98</v>
      </c>
      <c r="M80" s="108">
        <v>0</v>
      </c>
      <c r="N80" s="32"/>
      <c r="O80" s="32"/>
      <c r="P80" s="32"/>
    </row>
    <row r="81" spans="1:16">
      <c r="A81" s="57">
        <v>436</v>
      </c>
      <c r="B81" s="37">
        <v>44165</v>
      </c>
      <c r="C81" s="28">
        <v>44165</v>
      </c>
      <c r="D81" s="31" t="s">
        <v>2115</v>
      </c>
      <c r="E81" s="33">
        <v>24981865419</v>
      </c>
      <c r="F81" s="31" t="s">
        <v>11</v>
      </c>
      <c r="G81" s="31" t="s">
        <v>2116</v>
      </c>
      <c r="H81" s="77" t="s">
        <v>2217</v>
      </c>
      <c r="I81" s="31">
        <f>VLOOKUP(H81,PACOTES!B:E,4,FALSE)</f>
        <v>9</v>
      </c>
      <c r="J81" s="77" t="s">
        <v>419</v>
      </c>
      <c r="K81" s="32">
        <v>1560.26</v>
      </c>
      <c r="L81" s="32">
        <v>1560.26</v>
      </c>
      <c r="M81" s="108">
        <v>0</v>
      </c>
      <c r="N81" s="32"/>
      <c r="O81" s="32"/>
      <c r="P81" s="32"/>
    </row>
    <row r="82" spans="1:16">
      <c r="A82" s="57">
        <v>178</v>
      </c>
      <c r="B82" s="37">
        <v>44166</v>
      </c>
      <c r="C82" s="28">
        <v>44189</v>
      </c>
      <c r="D82" s="29" t="s">
        <v>1477</v>
      </c>
      <c r="E82" s="33">
        <v>21979723287</v>
      </c>
      <c r="F82" s="31" t="s">
        <v>10</v>
      </c>
      <c r="G82" s="31" t="s">
        <v>1712</v>
      </c>
      <c r="H82" s="77" t="s">
        <v>2217</v>
      </c>
      <c r="I82" s="31">
        <f>VLOOKUP(H82,PACOTES!B:E,4,FALSE)</f>
        <v>9</v>
      </c>
      <c r="J82" s="77" t="s">
        <v>419</v>
      </c>
      <c r="K82" s="32">
        <v>3500</v>
      </c>
      <c r="L82" s="32">
        <v>3500</v>
      </c>
      <c r="M82" s="108">
        <v>0</v>
      </c>
      <c r="N82" s="32"/>
      <c r="O82" s="32"/>
      <c r="P82" s="32"/>
    </row>
    <row r="83" spans="1:16">
      <c r="A83" s="58">
        <v>22</v>
      </c>
      <c r="B83" s="34">
        <v>44167</v>
      </c>
      <c r="C83" s="34">
        <v>44181</v>
      </c>
      <c r="D83" s="29" t="s">
        <v>1266</v>
      </c>
      <c r="E83" s="33">
        <v>21964304551</v>
      </c>
      <c r="F83" s="31" t="s">
        <v>10</v>
      </c>
      <c r="G83" s="31" t="s">
        <v>1264</v>
      </c>
      <c r="H83" s="77" t="s">
        <v>2222</v>
      </c>
      <c r="I83" s="31">
        <f>VLOOKUP(H83,PACOTES!B:E,4,FALSE)</f>
        <v>4</v>
      </c>
      <c r="J83" s="77" t="s">
        <v>134</v>
      </c>
      <c r="K83" s="32">
        <v>3760</v>
      </c>
      <c r="L83" s="32">
        <v>3760</v>
      </c>
      <c r="M83" s="108">
        <v>0</v>
      </c>
      <c r="N83" s="32"/>
      <c r="O83" s="32"/>
      <c r="P83" s="32"/>
    </row>
    <row r="84" spans="1:16">
      <c r="A84" s="57">
        <v>231</v>
      </c>
      <c r="B84" s="37">
        <v>44167</v>
      </c>
      <c r="C84" s="28">
        <v>44168</v>
      </c>
      <c r="D84" s="29" t="s">
        <v>1265</v>
      </c>
      <c r="E84" s="33">
        <v>21982774919</v>
      </c>
      <c r="F84" s="31" t="s">
        <v>11</v>
      </c>
      <c r="G84" s="31" t="s">
        <v>1641</v>
      </c>
      <c r="H84" s="77" t="s">
        <v>2217</v>
      </c>
      <c r="I84" s="31">
        <f>VLOOKUP(H84,PACOTES!B:E,4,FALSE)</f>
        <v>9</v>
      </c>
      <c r="J84" s="77" t="s">
        <v>419</v>
      </c>
      <c r="K84" s="32">
        <v>1950</v>
      </c>
      <c r="L84" s="32">
        <v>1950</v>
      </c>
      <c r="M84" s="108">
        <v>0</v>
      </c>
      <c r="N84" s="32"/>
      <c r="O84" s="32"/>
      <c r="P84" s="32"/>
    </row>
    <row r="85" spans="1:16">
      <c r="A85" s="57">
        <v>231</v>
      </c>
      <c r="B85" s="37">
        <v>44168</v>
      </c>
      <c r="C85" s="28">
        <v>44168</v>
      </c>
      <c r="D85" s="31" t="s">
        <v>1802</v>
      </c>
      <c r="E85" s="33">
        <v>21982774919</v>
      </c>
      <c r="F85" s="31" t="s">
        <v>11</v>
      </c>
      <c r="G85" s="31" t="s">
        <v>1803</v>
      </c>
      <c r="H85" s="77" t="s">
        <v>2217</v>
      </c>
      <c r="I85" s="31">
        <f>VLOOKUP(H85,PACOTES!B:E,4,FALSE)</f>
        <v>9</v>
      </c>
      <c r="J85" s="77" t="s">
        <v>419</v>
      </c>
      <c r="K85" s="32">
        <v>1950</v>
      </c>
      <c r="L85" s="32">
        <v>1950</v>
      </c>
      <c r="M85" s="108">
        <v>0</v>
      </c>
      <c r="N85" s="32"/>
      <c r="O85" s="32"/>
      <c r="P85" s="32"/>
    </row>
    <row r="86" spans="1:16">
      <c r="A86" s="57">
        <v>350</v>
      </c>
      <c r="B86" s="37">
        <v>44170</v>
      </c>
      <c r="C86" s="28">
        <v>44180</v>
      </c>
      <c r="D86" s="29" t="s">
        <v>1587</v>
      </c>
      <c r="E86" s="33">
        <v>21995585556</v>
      </c>
      <c r="F86" s="31" t="s">
        <v>11</v>
      </c>
      <c r="G86" s="31" t="s">
        <v>1405</v>
      </c>
      <c r="H86" s="77" t="s">
        <v>2217</v>
      </c>
      <c r="I86" s="31">
        <f>VLOOKUP(H86,PACOTES!B:E,4,FALSE)</f>
        <v>9</v>
      </c>
      <c r="J86" s="77" t="s">
        <v>419</v>
      </c>
      <c r="K86" s="32">
        <v>2000</v>
      </c>
      <c r="L86" s="32">
        <v>2000</v>
      </c>
      <c r="M86" s="108">
        <v>0</v>
      </c>
      <c r="N86" s="32"/>
      <c r="O86" s="32"/>
      <c r="P86" s="32"/>
    </row>
    <row r="87" spans="1:16">
      <c r="A87" s="57">
        <v>18</v>
      </c>
      <c r="B87" s="37">
        <v>44171</v>
      </c>
      <c r="C87" s="28">
        <v>44179</v>
      </c>
      <c r="D87" s="29" t="s">
        <v>1248</v>
      </c>
      <c r="E87" s="33">
        <v>21964223940</v>
      </c>
      <c r="F87" s="31" t="s">
        <v>11</v>
      </c>
      <c r="G87" s="31" t="s">
        <v>1249</v>
      </c>
      <c r="H87" s="77" t="s">
        <v>2217</v>
      </c>
      <c r="I87" s="31">
        <f>VLOOKUP(H87,PACOTES!B:E,4,FALSE)</f>
        <v>9</v>
      </c>
      <c r="J87" s="77" t="s">
        <v>419</v>
      </c>
      <c r="K87" s="32">
        <v>1950</v>
      </c>
      <c r="L87" s="32">
        <v>1950</v>
      </c>
      <c r="M87" s="108">
        <v>0</v>
      </c>
      <c r="N87" s="32"/>
      <c r="O87" s="32"/>
      <c r="P87" s="32"/>
    </row>
    <row r="88" spans="1:16">
      <c r="A88" s="57">
        <v>86</v>
      </c>
      <c r="B88" s="37">
        <v>44171</v>
      </c>
      <c r="C88" s="28">
        <v>44173</v>
      </c>
      <c r="D88" s="29" t="s">
        <v>1521</v>
      </c>
      <c r="E88" s="33">
        <v>21969151673</v>
      </c>
      <c r="F88" s="31" t="s">
        <v>11</v>
      </c>
      <c r="G88" s="31" t="s">
        <v>1522</v>
      </c>
      <c r="H88" s="77" t="s">
        <v>2217</v>
      </c>
      <c r="I88" s="31">
        <f>VLOOKUP(H88,PACOTES!B:E,4,FALSE)</f>
        <v>9</v>
      </c>
      <c r="J88" s="77" t="s">
        <v>419</v>
      </c>
      <c r="K88" s="32">
        <v>1900</v>
      </c>
      <c r="L88" s="32">
        <v>1900</v>
      </c>
      <c r="M88" s="108">
        <v>0</v>
      </c>
      <c r="N88" s="32"/>
      <c r="O88" s="32"/>
      <c r="P88" s="32"/>
    </row>
    <row r="89" spans="1:16">
      <c r="A89" s="57">
        <v>28</v>
      </c>
      <c r="B89" s="37">
        <v>44172</v>
      </c>
      <c r="C89" s="28">
        <v>44176</v>
      </c>
      <c r="D89" s="29" t="s">
        <v>1289</v>
      </c>
      <c r="E89" s="33">
        <v>21964347393</v>
      </c>
      <c r="F89" s="31" t="s">
        <v>11</v>
      </c>
      <c r="G89" s="31" t="s">
        <v>1249</v>
      </c>
      <c r="H89" s="77" t="s">
        <v>2217</v>
      </c>
      <c r="I89" s="31">
        <f>VLOOKUP(H89,PACOTES!B:E,4,FALSE)</f>
        <v>9</v>
      </c>
      <c r="J89" s="77" t="s">
        <v>419</v>
      </c>
      <c r="K89" s="32">
        <v>1950</v>
      </c>
      <c r="L89" s="32">
        <v>1950</v>
      </c>
      <c r="M89" s="108">
        <v>0</v>
      </c>
      <c r="N89" s="32"/>
      <c r="O89" s="32"/>
      <c r="P89" s="32"/>
    </row>
    <row r="90" spans="1:16">
      <c r="A90" s="57">
        <v>425</v>
      </c>
      <c r="B90" s="37">
        <v>44172</v>
      </c>
      <c r="C90" s="28">
        <v>44173</v>
      </c>
      <c r="D90" s="29" t="s">
        <v>1441</v>
      </c>
      <c r="E90" s="33">
        <v>22999028868</v>
      </c>
      <c r="F90" s="31" t="s">
        <v>11</v>
      </c>
      <c r="G90" s="31" t="s">
        <v>1611</v>
      </c>
      <c r="H90" s="77" t="s">
        <v>2217</v>
      </c>
      <c r="I90" s="31">
        <f>VLOOKUP(H90,PACOTES!B:E,4,FALSE)</f>
        <v>9</v>
      </c>
      <c r="J90" s="77" t="s">
        <v>419</v>
      </c>
      <c r="K90" s="32">
        <v>1579.28</v>
      </c>
      <c r="L90" s="32">
        <v>1579.28</v>
      </c>
      <c r="M90" s="108">
        <v>0</v>
      </c>
      <c r="N90" s="32"/>
      <c r="O90" s="32"/>
      <c r="P90" s="32"/>
    </row>
    <row r="91" spans="1:16">
      <c r="A91" s="57">
        <v>86</v>
      </c>
      <c r="B91" s="37">
        <v>44173</v>
      </c>
      <c r="C91" s="28">
        <v>44173</v>
      </c>
      <c r="D91" s="31" t="s">
        <v>1521</v>
      </c>
      <c r="E91" s="33">
        <v>21969151673</v>
      </c>
      <c r="F91" s="31" t="s">
        <v>11</v>
      </c>
      <c r="G91" s="31" t="s">
        <v>1255</v>
      </c>
      <c r="H91" s="77" t="s">
        <v>2217</v>
      </c>
      <c r="I91" s="31">
        <f>VLOOKUP(H91,PACOTES!B:E,4,FALSE)</f>
        <v>9</v>
      </c>
      <c r="J91" s="77" t="s">
        <v>419</v>
      </c>
      <c r="K91" s="32">
        <v>1900</v>
      </c>
      <c r="L91" s="32">
        <v>1900</v>
      </c>
      <c r="M91" s="108">
        <v>0</v>
      </c>
      <c r="N91" s="32"/>
      <c r="O91" s="32"/>
      <c r="P91" s="32"/>
    </row>
    <row r="92" spans="1:16">
      <c r="A92" s="57">
        <v>425</v>
      </c>
      <c r="B92" s="37">
        <v>44173</v>
      </c>
      <c r="C92" s="28">
        <v>44173</v>
      </c>
      <c r="D92" s="31" t="s">
        <v>1516</v>
      </c>
      <c r="E92" s="33">
        <v>22999028868</v>
      </c>
      <c r="F92" s="31" t="s">
        <v>11</v>
      </c>
      <c r="G92" s="31" t="s">
        <v>1581</v>
      </c>
      <c r="H92" s="77" t="s">
        <v>2218</v>
      </c>
      <c r="I92" s="31">
        <f>VLOOKUP(H92,PACOTES!B:E,4,FALSE)</f>
        <v>8</v>
      </c>
      <c r="J92" s="77" t="s">
        <v>419</v>
      </c>
      <c r="K92" s="32">
        <v>1579.28</v>
      </c>
      <c r="L92" s="32">
        <v>1579.28</v>
      </c>
      <c r="M92" s="108">
        <v>0</v>
      </c>
      <c r="N92" s="32"/>
      <c r="O92" s="32"/>
      <c r="P92" s="32"/>
    </row>
    <row r="93" spans="1:16">
      <c r="A93" s="57">
        <v>550</v>
      </c>
      <c r="B93" s="37">
        <v>44175</v>
      </c>
      <c r="C93" s="28">
        <v>44175</v>
      </c>
      <c r="D93" s="31" t="s">
        <v>1572</v>
      </c>
      <c r="E93" s="33">
        <v>86999214231</v>
      </c>
      <c r="F93" s="31" t="s">
        <v>11</v>
      </c>
      <c r="G93" s="31" t="s">
        <v>1573</v>
      </c>
      <c r="H93" s="77" t="s">
        <v>2217</v>
      </c>
      <c r="I93" s="31">
        <f>VLOOKUP(H93,PACOTES!B:E,4,FALSE)</f>
        <v>9</v>
      </c>
      <c r="J93" s="77" t="s">
        <v>419</v>
      </c>
      <c r="K93" s="32">
        <v>1582.77</v>
      </c>
      <c r="L93" s="32">
        <v>1582.77</v>
      </c>
      <c r="M93" s="108">
        <v>0</v>
      </c>
      <c r="N93" s="32"/>
      <c r="O93" s="32"/>
      <c r="P93" s="32"/>
    </row>
    <row r="94" spans="1:16">
      <c r="A94" s="57">
        <v>9</v>
      </c>
      <c r="B94" s="37">
        <v>44176</v>
      </c>
      <c r="C94" s="28">
        <v>44176</v>
      </c>
      <c r="D94" s="29" t="s">
        <v>1211</v>
      </c>
      <c r="E94" s="33">
        <v>21964093257</v>
      </c>
      <c r="F94" s="31" t="s">
        <v>10</v>
      </c>
      <c r="G94" s="31" t="s">
        <v>1211</v>
      </c>
      <c r="H94" s="77" t="s">
        <v>2220</v>
      </c>
      <c r="I94" s="31">
        <f>VLOOKUP(H94,PACOTES!B:E,4,FALSE)</f>
        <v>6</v>
      </c>
      <c r="J94" s="77" t="s">
        <v>419</v>
      </c>
      <c r="K94" s="32">
        <v>1830</v>
      </c>
      <c r="L94" s="32">
        <v>1830</v>
      </c>
      <c r="M94" s="108">
        <v>0</v>
      </c>
      <c r="N94" s="32"/>
      <c r="O94" s="32"/>
      <c r="P94" s="32"/>
    </row>
    <row r="95" spans="1:16">
      <c r="A95" s="57">
        <v>475</v>
      </c>
      <c r="B95" s="37">
        <v>44176</v>
      </c>
      <c r="C95" s="28">
        <v>44179</v>
      </c>
      <c r="D95" s="29" t="s">
        <v>1286</v>
      </c>
      <c r="E95" s="33">
        <v>13988601020</v>
      </c>
      <c r="F95" s="31" t="s">
        <v>11</v>
      </c>
      <c r="G95" s="31" t="s">
        <v>1287</v>
      </c>
      <c r="H95" s="77" t="s">
        <v>2217</v>
      </c>
      <c r="I95" s="31">
        <f>VLOOKUP(H95,PACOTES!B:E,4,FALSE)</f>
        <v>9</v>
      </c>
      <c r="J95" s="77" t="s">
        <v>419</v>
      </c>
      <c r="K95" s="32">
        <v>1732.77</v>
      </c>
      <c r="L95" s="32">
        <v>1732.77</v>
      </c>
      <c r="M95" s="108">
        <v>0</v>
      </c>
      <c r="N95" s="32"/>
      <c r="O95" s="32"/>
      <c r="P95" s="32"/>
    </row>
    <row r="96" spans="1:16">
      <c r="A96" s="57">
        <v>550</v>
      </c>
      <c r="B96" s="37">
        <v>44176</v>
      </c>
      <c r="C96" s="28">
        <v>44177</v>
      </c>
      <c r="D96" s="29" t="s">
        <v>1574</v>
      </c>
      <c r="E96" s="33">
        <v>86999214231</v>
      </c>
      <c r="F96" s="31" t="s">
        <v>11</v>
      </c>
      <c r="G96" s="31" t="s">
        <v>1575</v>
      </c>
      <c r="H96" s="77" t="s">
        <v>2217</v>
      </c>
      <c r="I96" s="31">
        <f>VLOOKUP(H96,PACOTES!B:E,4,FALSE)</f>
        <v>9</v>
      </c>
      <c r="J96" s="77" t="s">
        <v>419</v>
      </c>
      <c r="K96" s="32">
        <v>1732.77</v>
      </c>
      <c r="L96" s="32">
        <v>1732.77</v>
      </c>
      <c r="M96" s="108">
        <v>0</v>
      </c>
      <c r="N96" s="32"/>
      <c r="O96" s="32"/>
      <c r="P96" s="32"/>
    </row>
    <row r="97" spans="1:16">
      <c r="A97" s="57">
        <v>559</v>
      </c>
      <c r="B97" s="37">
        <v>44176</v>
      </c>
      <c r="C97" s="28">
        <v>44176</v>
      </c>
      <c r="D97" s="29" t="s">
        <v>1610</v>
      </c>
      <c r="E97" s="33">
        <v>98992200383</v>
      </c>
      <c r="F97" s="31" t="s">
        <v>11</v>
      </c>
      <c r="G97" s="31" t="s">
        <v>1611</v>
      </c>
      <c r="H97" s="77" t="s">
        <v>2217</v>
      </c>
      <c r="I97" s="31">
        <f>VLOOKUP(H97,PACOTES!B:E,4,FALSE)</f>
        <v>9</v>
      </c>
      <c r="J97" s="77" t="s">
        <v>419</v>
      </c>
      <c r="K97" s="32">
        <v>1555.98</v>
      </c>
      <c r="L97" s="32">
        <v>1555.98</v>
      </c>
      <c r="M97" s="108">
        <v>0</v>
      </c>
      <c r="N97" s="32"/>
      <c r="O97" s="32"/>
      <c r="P97" s="32"/>
    </row>
    <row r="98" spans="1:16">
      <c r="A98" s="57">
        <v>551</v>
      </c>
      <c r="B98" s="37">
        <v>44178</v>
      </c>
      <c r="C98" s="28">
        <v>44179</v>
      </c>
      <c r="D98" s="29" t="s">
        <v>1578</v>
      </c>
      <c r="E98" s="33">
        <v>92982241662</v>
      </c>
      <c r="F98" s="31" t="s">
        <v>11</v>
      </c>
      <c r="G98" s="31" t="s">
        <v>1579</v>
      </c>
      <c r="H98" s="77" t="s">
        <v>2217</v>
      </c>
      <c r="I98" s="31">
        <f>VLOOKUP(H98,PACOTES!B:E,4,FALSE)</f>
        <v>9</v>
      </c>
      <c r="J98" s="77" t="s">
        <v>419</v>
      </c>
      <c r="K98" s="32">
        <v>1750</v>
      </c>
      <c r="L98" s="32">
        <v>1750</v>
      </c>
      <c r="M98" s="108">
        <v>0</v>
      </c>
      <c r="N98" s="32"/>
      <c r="O98" s="32"/>
      <c r="P98" s="32"/>
    </row>
    <row r="99" spans="1:16">
      <c r="A99" s="57">
        <v>475</v>
      </c>
      <c r="B99" s="37">
        <v>44179</v>
      </c>
      <c r="C99" s="28">
        <v>44179</v>
      </c>
      <c r="D99" s="31" t="s">
        <v>1286</v>
      </c>
      <c r="E99" s="33">
        <v>13988601020</v>
      </c>
      <c r="F99" s="31" t="s">
        <v>11</v>
      </c>
      <c r="G99" s="31" t="s">
        <v>1288</v>
      </c>
      <c r="H99" s="77" t="s">
        <v>2217</v>
      </c>
      <c r="I99" s="31">
        <f>VLOOKUP(H99,PACOTES!B:E,4,FALSE)</f>
        <v>9</v>
      </c>
      <c r="J99" s="77" t="s">
        <v>419</v>
      </c>
      <c r="K99" s="32">
        <v>1582.77</v>
      </c>
      <c r="L99" s="32">
        <v>1582.77</v>
      </c>
      <c r="M99" s="108">
        <v>0</v>
      </c>
      <c r="N99" s="32"/>
      <c r="O99" s="32"/>
      <c r="P99" s="32"/>
    </row>
    <row r="100" spans="1:16">
      <c r="A100" s="57">
        <v>551</v>
      </c>
      <c r="B100" s="37">
        <v>44179</v>
      </c>
      <c r="C100" s="28">
        <v>44179</v>
      </c>
      <c r="D100" s="31" t="s">
        <v>1580</v>
      </c>
      <c r="E100" s="33">
        <v>92982241662</v>
      </c>
      <c r="F100" s="31" t="s">
        <v>11</v>
      </c>
      <c r="G100" s="31" t="s">
        <v>1581</v>
      </c>
      <c r="H100" s="77" t="s">
        <v>2217</v>
      </c>
      <c r="I100" s="31">
        <f>VLOOKUP(H100,PACOTES!B:E,4,FALSE)</f>
        <v>9</v>
      </c>
      <c r="J100" s="77" t="s">
        <v>419</v>
      </c>
      <c r="K100" s="32">
        <v>1750</v>
      </c>
      <c r="L100" s="32">
        <v>1750</v>
      </c>
      <c r="M100" s="108">
        <v>0</v>
      </c>
      <c r="N100" s="32"/>
      <c r="O100" s="32"/>
      <c r="P100" s="32"/>
    </row>
    <row r="101" spans="1:16">
      <c r="A101" s="57">
        <v>476</v>
      </c>
      <c r="B101" s="37">
        <v>44180</v>
      </c>
      <c r="C101" s="28">
        <v>44181</v>
      </c>
      <c r="D101" s="29" t="s">
        <v>1290</v>
      </c>
      <c r="E101" s="33">
        <v>13996768146</v>
      </c>
      <c r="F101" s="31" t="s">
        <v>11</v>
      </c>
      <c r="G101" s="31" t="s">
        <v>1291</v>
      </c>
      <c r="H101" s="77" t="s">
        <v>2217</v>
      </c>
      <c r="I101" s="31">
        <f>VLOOKUP(H101,PACOTES!B:E,4,FALSE)</f>
        <v>9</v>
      </c>
      <c r="J101" s="77" t="s">
        <v>419</v>
      </c>
      <c r="K101" s="32">
        <v>1560.26</v>
      </c>
      <c r="L101" s="32">
        <v>1560.26</v>
      </c>
      <c r="M101" s="108">
        <v>0</v>
      </c>
      <c r="N101" s="32"/>
      <c r="O101" s="32"/>
      <c r="P101" s="32"/>
    </row>
    <row r="102" spans="1:16">
      <c r="A102" s="57">
        <v>476</v>
      </c>
      <c r="B102" s="37">
        <v>44181</v>
      </c>
      <c r="C102" s="28">
        <v>44181</v>
      </c>
      <c r="D102" s="31" t="s">
        <v>1292</v>
      </c>
      <c r="E102" s="33">
        <v>13996768146</v>
      </c>
      <c r="F102" s="31" t="s">
        <v>11</v>
      </c>
      <c r="G102" s="31" t="s">
        <v>1293</v>
      </c>
      <c r="H102" s="77" t="s">
        <v>2217</v>
      </c>
      <c r="I102" s="31">
        <f>VLOOKUP(H102,PACOTES!B:E,4,FALSE)</f>
        <v>9</v>
      </c>
      <c r="J102" s="77" t="s">
        <v>419</v>
      </c>
      <c r="K102" s="32">
        <v>1560.26</v>
      </c>
      <c r="L102" s="32">
        <v>1560.26</v>
      </c>
      <c r="M102" s="108">
        <v>0</v>
      </c>
      <c r="N102" s="32"/>
      <c r="O102" s="32"/>
      <c r="P102" s="32"/>
    </row>
    <row r="103" spans="1:16">
      <c r="A103" s="57">
        <v>553</v>
      </c>
      <c r="B103" s="37">
        <v>44181</v>
      </c>
      <c r="C103" s="28">
        <v>44182</v>
      </c>
      <c r="D103" s="29" t="s">
        <v>1585</v>
      </c>
      <c r="E103" s="33">
        <v>92992701114</v>
      </c>
      <c r="F103" s="31" t="s">
        <v>11</v>
      </c>
      <c r="G103" s="31" t="s">
        <v>1430</v>
      </c>
      <c r="H103" s="77" t="s">
        <v>2220</v>
      </c>
      <c r="I103" s="31">
        <f>VLOOKUP(H103,PACOTES!B:E,4,FALSE)</f>
        <v>6</v>
      </c>
      <c r="J103" s="77" t="s">
        <v>419</v>
      </c>
      <c r="K103" s="32">
        <v>1742.05</v>
      </c>
      <c r="L103" s="32">
        <v>1742.05</v>
      </c>
      <c r="M103" s="108">
        <v>0</v>
      </c>
      <c r="N103" s="32"/>
      <c r="O103" s="32"/>
      <c r="P103" s="32"/>
    </row>
    <row r="104" spans="1:16">
      <c r="A104" s="57">
        <v>350</v>
      </c>
      <c r="B104" s="37">
        <v>44181</v>
      </c>
      <c r="C104" s="28">
        <v>44181</v>
      </c>
      <c r="D104" s="31" t="s">
        <v>2009</v>
      </c>
      <c r="E104" s="33">
        <v>21995585556</v>
      </c>
      <c r="F104" s="31" t="s">
        <v>11</v>
      </c>
      <c r="G104" s="31" t="s">
        <v>2010</v>
      </c>
      <c r="H104" s="77" t="s">
        <v>2217</v>
      </c>
      <c r="I104" s="31">
        <f>VLOOKUP(H104,PACOTES!B:E,4,FALSE)</f>
        <v>9</v>
      </c>
      <c r="J104" s="77" t="s">
        <v>419</v>
      </c>
      <c r="K104" s="32">
        <v>2000</v>
      </c>
      <c r="L104" s="32">
        <v>2000</v>
      </c>
      <c r="M104" s="108">
        <v>0</v>
      </c>
      <c r="N104" s="32"/>
      <c r="O104" s="32"/>
      <c r="P104" s="32"/>
    </row>
    <row r="105" spans="1:16">
      <c r="A105" s="57">
        <v>31</v>
      </c>
      <c r="B105" s="37">
        <v>44182</v>
      </c>
      <c r="C105" s="28">
        <v>44182</v>
      </c>
      <c r="D105" s="29" t="s">
        <v>1303</v>
      </c>
      <c r="E105" s="33">
        <v>21964372918</v>
      </c>
      <c r="F105" s="31" t="s">
        <v>12</v>
      </c>
      <c r="G105" s="31" t="s">
        <v>1304</v>
      </c>
      <c r="H105" s="77" t="s">
        <v>2217</v>
      </c>
      <c r="I105" s="31">
        <f>VLOOKUP(H105,PACOTES!B:E,4,FALSE)</f>
        <v>9</v>
      </c>
      <c r="J105" s="77" t="s">
        <v>419</v>
      </c>
      <c r="K105" s="32">
        <v>166.99</v>
      </c>
      <c r="L105" s="32">
        <v>166.99</v>
      </c>
      <c r="M105" s="108">
        <v>0</v>
      </c>
      <c r="N105" s="32"/>
      <c r="O105" s="32"/>
      <c r="P105" s="32"/>
    </row>
    <row r="106" spans="1:16">
      <c r="A106" s="57">
        <v>553</v>
      </c>
      <c r="B106" s="37">
        <v>44182</v>
      </c>
      <c r="C106" s="28">
        <v>44182</v>
      </c>
      <c r="D106" s="31" t="s">
        <v>1586</v>
      </c>
      <c r="E106" s="33">
        <v>92992701114</v>
      </c>
      <c r="F106" s="31" t="s">
        <v>11</v>
      </c>
      <c r="G106" s="31" t="s">
        <v>1327</v>
      </c>
      <c r="H106" s="77" t="s">
        <v>2220</v>
      </c>
      <c r="I106" s="31">
        <f>VLOOKUP(H106,PACOTES!B:E,4,FALSE)</f>
        <v>6</v>
      </c>
      <c r="J106" s="77" t="s">
        <v>419</v>
      </c>
      <c r="K106" s="32">
        <v>2100</v>
      </c>
      <c r="L106" s="32">
        <v>2100</v>
      </c>
      <c r="M106" s="108">
        <v>0</v>
      </c>
      <c r="N106" s="32"/>
      <c r="O106" s="32"/>
      <c r="P106" s="32"/>
    </row>
    <row r="107" spans="1:16">
      <c r="A107" s="57">
        <v>215</v>
      </c>
      <c r="B107" s="37">
        <v>44182</v>
      </c>
      <c r="C107" s="28">
        <v>44184</v>
      </c>
      <c r="D107" s="29" t="s">
        <v>1773</v>
      </c>
      <c r="E107" s="33">
        <v>21982027002</v>
      </c>
      <c r="F107" s="31" t="s">
        <v>11</v>
      </c>
      <c r="G107" s="31" t="s">
        <v>1264</v>
      </c>
      <c r="H107" s="77" t="s">
        <v>2217</v>
      </c>
      <c r="I107" s="31">
        <f>VLOOKUP(H107,PACOTES!B:E,4,FALSE)</f>
        <v>9</v>
      </c>
      <c r="J107" s="77" t="s">
        <v>419</v>
      </c>
      <c r="K107" s="32">
        <v>1950</v>
      </c>
      <c r="L107" s="32">
        <v>1950</v>
      </c>
      <c r="M107" s="108">
        <v>0</v>
      </c>
      <c r="N107" s="32"/>
      <c r="O107" s="32"/>
      <c r="P107" s="32"/>
    </row>
    <row r="108" spans="1:16">
      <c r="A108" s="57">
        <v>433</v>
      </c>
      <c r="B108" s="37">
        <v>44183</v>
      </c>
      <c r="C108" s="28">
        <v>44184</v>
      </c>
      <c r="D108" s="29" t="s">
        <v>1864</v>
      </c>
      <c r="E108" s="33">
        <v>24981287178</v>
      </c>
      <c r="F108" s="31" t="s">
        <v>11</v>
      </c>
      <c r="G108" s="31" t="s">
        <v>2112</v>
      </c>
      <c r="H108" s="77" t="s">
        <v>2217</v>
      </c>
      <c r="I108" s="31">
        <f>VLOOKUP(H108,PACOTES!B:E,4,FALSE)</f>
        <v>9</v>
      </c>
      <c r="J108" s="77" t="s">
        <v>419</v>
      </c>
      <c r="K108" s="32">
        <v>1750</v>
      </c>
      <c r="L108" s="32">
        <v>1750</v>
      </c>
      <c r="M108" s="108">
        <v>0</v>
      </c>
      <c r="N108" s="32"/>
      <c r="O108" s="32"/>
      <c r="P108" s="32"/>
    </row>
    <row r="109" spans="1:16">
      <c r="A109" s="57">
        <v>476</v>
      </c>
      <c r="B109" s="37">
        <v>44184</v>
      </c>
      <c r="C109" s="28">
        <v>44184</v>
      </c>
      <c r="D109" s="31" t="s">
        <v>1294</v>
      </c>
      <c r="E109" s="33">
        <v>13996768146</v>
      </c>
      <c r="F109" s="31" t="s">
        <v>11</v>
      </c>
      <c r="G109" s="31" t="s">
        <v>1295</v>
      </c>
      <c r="H109" s="77" t="s">
        <v>2218</v>
      </c>
      <c r="I109" s="31">
        <f>VLOOKUP(H109,PACOTES!B:E,4,FALSE)</f>
        <v>8</v>
      </c>
      <c r="J109" s="77" t="s">
        <v>419</v>
      </c>
      <c r="K109" s="32">
        <v>1750</v>
      </c>
      <c r="L109" s="32">
        <v>1750</v>
      </c>
      <c r="M109" s="108">
        <v>0</v>
      </c>
      <c r="N109" s="32"/>
      <c r="O109" s="32"/>
      <c r="P109" s="32"/>
    </row>
    <row r="110" spans="1:16">
      <c r="A110" s="57">
        <v>33</v>
      </c>
      <c r="B110" s="37">
        <v>44184</v>
      </c>
      <c r="C110" s="28">
        <v>44184</v>
      </c>
      <c r="D110" s="31" t="s">
        <v>1311</v>
      </c>
      <c r="E110" s="33">
        <v>21964421393</v>
      </c>
      <c r="F110" s="31" t="s">
        <v>10</v>
      </c>
      <c r="G110" s="31" t="s">
        <v>1312</v>
      </c>
      <c r="H110" s="77" t="s">
        <v>2221</v>
      </c>
      <c r="I110" s="31">
        <f>VLOOKUP(H110,PACOTES!B:E,4,FALSE)</f>
        <v>5</v>
      </c>
      <c r="J110" s="77" t="s">
        <v>419</v>
      </c>
      <c r="K110" s="32">
        <v>3400</v>
      </c>
      <c r="L110" s="32">
        <v>3400</v>
      </c>
      <c r="M110" s="108">
        <v>0</v>
      </c>
      <c r="N110" s="32"/>
      <c r="O110" s="32"/>
      <c r="P110" s="32"/>
    </row>
    <row r="111" spans="1:16">
      <c r="A111" s="57">
        <v>184</v>
      </c>
      <c r="B111" s="37">
        <v>44184</v>
      </c>
      <c r="C111" s="28">
        <v>44187</v>
      </c>
      <c r="D111" s="29" t="s">
        <v>1725</v>
      </c>
      <c r="E111" s="33">
        <v>21980004667</v>
      </c>
      <c r="F111" s="31" t="s">
        <v>10</v>
      </c>
      <c r="G111" s="31" t="s">
        <v>1726</v>
      </c>
      <c r="H111" s="77" t="s">
        <v>2217</v>
      </c>
      <c r="I111" s="31">
        <f>VLOOKUP(H111,PACOTES!B:E,4,FALSE)</f>
        <v>9</v>
      </c>
      <c r="J111" s="77" t="s">
        <v>134</v>
      </c>
      <c r="K111" s="32">
        <v>2800</v>
      </c>
      <c r="L111" s="32">
        <v>2800</v>
      </c>
      <c r="M111" s="108">
        <v>0</v>
      </c>
      <c r="N111" s="32"/>
      <c r="O111" s="32"/>
      <c r="P111" s="32"/>
    </row>
    <row r="112" spans="1:16">
      <c r="A112" s="57">
        <v>215</v>
      </c>
      <c r="B112" s="37">
        <v>44184</v>
      </c>
      <c r="C112" s="28">
        <v>44184</v>
      </c>
      <c r="D112" s="31" t="s">
        <v>1773</v>
      </c>
      <c r="E112" s="33">
        <v>21982027002</v>
      </c>
      <c r="F112" s="31" t="s">
        <v>11</v>
      </c>
      <c r="G112" s="31" t="s">
        <v>1245</v>
      </c>
      <c r="H112" s="77" t="s">
        <v>2217</v>
      </c>
      <c r="I112" s="31">
        <f>VLOOKUP(H112,PACOTES!B:E,4,FALSE)</f>
        <v>9</v>
      </c>
      <c r="J112" s="77" t="s">
        <v>419</v>
      </c>
      <c r="K112" s="32">
        <v>1950</v>
      </c>
      <c r="L112" s="32">
        <v>1950</v>
      </c>
      <c r="M112" s="108">
        <v>0</v>
      </c>
      <c r="N112" s="32"/>
      <c r="O112" s="32"/>
      <c r="P112" s="32"/>
    </row>
    <row r="113" spans="1:16">
      <c r="A113" s="57">
        <v>18</v>
      </c>
      <c r="B113" s="37">
        <v>44185</v>
      </c>
      <c r="C113" s="28">
        <v>44185</v>
      </c>
      <c r="D113" s="31" t="s">
        <v>1250</v>
      </c>
      <c r="E113" s="33">
        <v>21964223940</v>
      </c>
      <c r="F113" s="31" t="s">
        <v>11</v>
      </c>
      <c r="G113" s="31" t="s">
        <v>1251</v>
      </c>
      <c r="H113" s="77" t="s">
        <v>2217</v>
      </c>
      <c r="I113" s="31">
        <f>VLOOKUP(H113,PACOTES!B:E,4,FALSE)</f>
        <v>9</v>
      </c>
      <c r="J113" s="77" t="s">
        <v>419</v>
      </c>
      <c r="K113" s="32">
        <v>1950</v>
      </c>
      <c r="L113" s="32">
        <v>1950</v>
      </c>
      <c r="M113" s="108">
        <v>0</v>
      </c>
      <c r="N113" s="32"/>
      <c r="O113" s="32"/>
      <c r="P113" s="32"/>
    </row>
    <row r="114" spans="1:16">
      <c r="A114" s="57">
        <v>484</v>
      </c>
      <c r="B114" s="37">
        <v>44185</v>
      </c>
      <c r="C114" s="28">
        <v>44186</v>
      </c>
      <c r="D114" s="29" t="s">
        <v>1326</v>
      </c>
      <c r="E114" s="33">
        <v>19991388063</v>
      </c>
      <c r="F114" s="31" t="s">
        <v>11</v>
      </c>
      <c r="G114" s="31" t="s">
        <v>1233</v>
      </c>
      <c r="H114" s="77" t="s">
        <v>2217</v>
      </c>
      <c r="I114" s="31">
        <f>VLOOKUP(H114,PACOTES!B:E,4,FALSE)</f>
        <v>9</v>
      </c>
      <c r="J114" s="77" t="s">
        <v>419</v>
      </c>
      <c r="K114" s="32">
        <v>1699.26</v>
      </c>
      <c r="L114" s="32">
        <v>1699.26</v>
      </c>
      <c r="M114" s="108">
        <v>0</v>
      </c>
      <c r="N114" s="32"/>
      <c r="O114" s="32"/>
      <c r="P114" s="32"/>
    </row>
    <row r="115" spans="1:16">
      <c r="A115" s="57">
        <v>484</v>
      </c>
      <c r="B115" s="37">
        <v>44186</v>
      </c>
      <c r="C115" s="28">
        <v>44186</v>
      </c>
      <c r="D115" s="31" t="s">
        <v>1326</v>
      </c>
      <c r="E115" s="33">
        <v>19991388063</v>
      </c>
      <c r="F115" s="31" t="s">
        <v>11</v>
      </c>
      <c r="G115" s="31" t="s">
        <v>1327</v>
      </c>
      <c r="H115" s="77" t="s">
        <v>2217</v>
      </c>
      <c r="I115" s="31">
        <f>VLOOKUP(H115,PACOTES!B:E,4,FALSE)</f>
        <v>9</v>
      </c>
      <c r="J115" s="77" t="s">
        <v>419</v>
      </c>
      <c r="K115" s="32">
        <v>2100</v>
      </c>
      <c r="L115" s="32">
        <v>2100</v>
      </c>
      <c r="M115" s="108">
        <v>0</v>
      </c>
      <c r="N115" s="32"/>
      <c r="O115" s="32"/>
      <c r="P115" s="32"/>
    </row>
    <row r="116" spans="1:16">
      <c r="A116" s="57">
        <v>81</v>
      </c>
      <c r="B116" s="37">
        <v>44187</v>
      </c>
      <c r="C116" s="28">
        <v>44187</v>
      </c>
      <c r="D116" s="31" t="s">
        <v>1504</v>
      </c>
      <c r="E116" s="33">
        <v>21968872790</v>
      </c>
      <c r="F116" s="31" t="s">
        <v>10</v>
      </c>
      <c r="G116" s="31" t="s">
        <v>1505</v>
      </c>
      <c r="H116" s="77" t="s">
        <v>2224</v>
      </c>
      <c r="I116" s="31">
        <f>VLOOKUP(H116,PACOTES!B:E,4,FALSE)</f>
        <v>2</v>
      </c>
      <c r="J116" s="77" t="s">
        <v>134</v>
      </c>
      <c r="K116" s="32">
        <v>3800</v>
      </c>
      <c r="L116" s="32">
        <v>3800</v>
      </c>
      <c r="M116" s="108">
        <v>0</v>
      </c>
      <c r="N116" s="32"/>
      <c r="O116" s="32"/>
      <c r="P116" s="32"/>
    </row>
    <row r="117" spans="1:16">
      <c r="A117" s="57">
        <v>214</v>
      </c>
      <c r="B117" s="37">
        <v>44187</v>
      </c>
      <c r="C117" s="28">
        <v>44188</v>
      </c>
      <c r="D117" s="29" t="s">
        <v>1772</v>
      </c>
      <c r="E117" s="33">
        <v>21981855192</v>
      </c>
      <c r="F117" s="31" t="s">
        <v>11</v>
      </c>
      <c r="G117" s="31" t="s">
        <v>1611</v>
      </c>
      <c r="H117" s="77" t="s">
        <v>2217</v>
      </c>
      <c r="I117" s="31">
        <f>VLOOKUP(H117,PACOTES!B:E,4,FALSE)</f>
        <v>9</v>
      </c>
      <c r="J117" s="77" t="s">
        <v>419</v>
      </c>
      <c r="K117" s="32">
        <v>1900</v>
      </c>
      <c r="L117" s="32">
        <v>1900</v>
      </c>
      <c r="M117" s="108">
        <v>0</v>
      </c>
      <c r="N117" s="32"/>
      <c r="O117" s="32"/>
      <c r="P117" s="32"/>
    </row>
    <row r="118" spans="1:16">
      <c r="A118" s="57">
        <v>312</v>
      </c>
      <c r="B118" s="37">
        <v>44187</v>
      </c>
      <c r="C118" s="28">
        <v>44187</v>
      </c>
      <c r="D118" s="31" t="s">
        <v>1948</v>
      </c>
      <c r="E118" s="31">
        <v>21991856512</v>
      </c>
      <c r="F118" s="31" t="s">
        <v>10</v>
      </c>
      <c r="G118" s="31" t="s">
        <v>1949</v>
      </c>
      <c r="H118" s="77" t="s">
        <v>2218</v>
      </c>
      <c r="I118" s="31">
        <f>VLOOKUP(H118,PACOTES!B:E,4,FALSE)</f>
        <v>8</v>
      </c>
      <c r="J118" s="77" t="s">
        <v>419</v>
      </c>
      <c r="K118" s="32">
        <v>2800</v>
      </c>
      <c r="L118" s="32">
        <v>2800</v>
      </c>
      <c r="M118" s="108">
        <v>0</v>
      </c>
      <c r="N118" s="32"/>
      <c r="O118" s="32"/>
      <c r="P118" s="32"/>
    </row>
    <row r="119" spans="1:16">
      <c r="A119" s="57">
        <v>372</v>
      </c>
      <c r="B119" s="37">
        <v>44187</v>
      </c>
      <c r="C119" s="28">
        <v>44194</v>
      </c>
      <c r="D119" s="29" t="s">
        <v>1208</v>
      </c>
      <c r="E119" s="33">
        <v>21996882629</v>
      </c>
      <c r="F119" s="31" t="s">
        <v>10</v>
      </c>
      <c r="G119" s="31" t="s">
        <v>2040</v>
      </c>
      <c r="H119" s="77" t="s">
        <v>2217</v>
      </c>
      <c r="I119" s="31">
        <f>VLOOKUP(H119,PACOTES!B:E,4,FALSE)</f>
        <v>9</v>
      </c>
      <c r="J119" s="77" t="s">
        <v>419</v>
      </c>
      <c r="K119" s="32">
        <v>3000</v>
      </c>
      <c r="L119" s="32">
        <v>3000</v>
      </c>
      <c r="M119" s="108">
        <v>0</v>
      </c>
      <c r="N119" s="32"/>
      <c r="O119" s="32"/>
      <c r="P119" s="32"/>
    </row>
    <row r="120" spans="1:16">
      <c r="A120" s="57">
        <v>161</v>
      </c>
      <c r="B120" s="37">
        <v>44188</v>
      </c>
      <c r="C120" s="28">
        <v>44191</v>
      </c>
      <c r="D120" s="29" t="s">
        <v>1514</v>
      </c>
      <c r="E120" s="33">
        <v>21975725257</v>
      </c>
      <c r="F120" s="31" t="s">
        <v>11</v>
      </c>
      <c r="G120" s="31" t="s">
        <v>1688</v>
      </c>
      <c r="H120" s="77" t="s">
        <v>2217</v>
      </c>
      <c r="I120" s="31">
        <f>VLOOKUP(H120,PACOTES!B:E,4,FALSE)</f>
        <v>9</v>
      </c>
      <c r="J120" s="77" t="s">
        <v>419</v>
      </c>
      <c r="K120" s="32">
        <v>1755</v>
      </c>
      <c r="L120" s="32">
        <v>1755</v>
      </c>
      <c r="M120" s="108">
        <v>0</v>
      </c>
      <c r="N120" s="32"/>
      <c r="O120" s="32"/>
      <c r="P120" s="32"/>
    </row>
    <row r="121" spans="1:16">
      <c r="A121" s="57">
        <v>399</v>
      </c>
      <c r="B121" s="37">
        <v>44188</v>
      </c>
      <c r="C121" s="28">
        <v>44189</v>
      </c>
      <c r="D121" s="29" t="s">
        <v>2068</v>
      </c>
      <c r="E121" s="33">
        <v>21999120013</v>
      </c>
      <c r="F121" s="31" t="s">
        <v>11</v>
      </c>
      <c r="G121" s="31" t="s">
        <v>1403</v>
      </c>
      <c r="H121" s="77" t="s">
        <v>2217</v>
      </c>
      <c r="I121" s="31">
        <f>VLOOKUP(H121,PACOTES!B:E,4,FALSE)</f>
        <v>9</v>
      </c>
      <c r="J121" s="77" t="s">
        <v>419</v>
      </c>
      <c r="K121" s="32">
        <v>1900</v>
      </c>
      <c r="L121" s="32">
        <v>1900</v>
      </c>
      <c r="M121" s="108">
        <v>0</v>
      </c>
      <c r="N121" s="32"/>
      <c r="O121" s="32"/>
      <c r="P121" s="32"/>
    </row>
    <row r="122" spans="1:16">
      <c r="A122" s="57" t="s">
        <v>13</v>
      </c>
      <c r="B122" s="37">
        <v>44188</v>
      </c>
      <c r="C122" s="28">
        <v>44188</v>
      </c>
      <c r="D122" s="103" t="s">
        <v>2145</v>
      </c>
      <c r="E122" s="31" t="s">
        <v>13</v>
      </c>
      <c r="F122" s="31" t="s">
        <v>11</v>
      </c>
      <c r="G122" s="31" t="s">
        <v>1359</v>
      </c>
      <c r="H122" s="77" t="s">
        <v>2217</v>
      </c>
      <c r="I122" s="31">
        <f>VLOOKUP(H122,PACOTES!B:E,4,FALSE)</f>
        <v>9</v>
      </c>
      <c r="J122" s="77" t="s">
        <v>419</v>
      </c>
      <c r="K122" s="32">
        <v>1900</v>
      </c>
      <c r="L122" s="32">
        <v>1900</v>
      </c>
      <c r="M122" s="108">
        <v>0</v>
      </c>
      <c r="N122" s="32"/>
      <c r="O122" s="32"/>
      <c r="P122" s="32"/>
    </row>
    <row r="123" spans="1:16">
      <c r="A123" s="57">
        <v>126</v>
      </c>
      <c r="B123" s="37">
        <v>44189</v>
      </c>
      <c r="C123" s="28">
        <v>44194</v>
      </c>
      <c r="D123" s="29" t="s">
        <v>1300</v>
      </c>
      <c r="E123" s="33">
        <v>21972013633</v>
      </c>
      <c r="F123" s="31" t="s">
        <v>7</v>
      </c>
      <c r="G123" s="31" t="s">
        <v>1632</v>
      </c>
      <c r="H123" s="77" t="s">
        <v>2214</v>
      </c>
      <c r="I123" s="31"/>
      <c r="J123" s="77" t="s">
        <v>2214</v>
      </c>
      <c r="K123" s="32">
        <v>1600</v>
      </c>
      <c r="L123" s="32">
        <v>1600</v>
      </c>
      <c r="M123" s="108">
        <v>0</v>
      </c>
      <c r="N123" s="104" t="s">
        <v>2214</v>
      </c>
      <c r="O123" s="32"/>
      <c r="P123" s="32"/>
    </row>
    <row r="124" spans="1:16">
      <c r="A124" s="57">
        <v>161</v>
      </c>
      <c r="B124" s="37">
        <v>44195</v>
      </c>
      <c r="C124" s="28">
        <v>44195</v>
      </c>
      <c r="D124" s="31" t="s">
        <v>1689</v>
      </c>
      <c r="E124" s="33">
        <v>21975725257</v>
      </c>
      <c r="F124" s="31" t="s">
        <v>11</v>
      </c>
      <c r="G124" s="31" t="s">
        <v>1245</v>
      </c>
      <c r="H124" s="77" t="s">
        <v>2217</v>
      </c>
      <c r="I124" s="31">
        <f>VLOOKUP(H124,PACOTES!B:E,4,FALSE)</f>
        <v>9</v>
      </c>
      <c r="J124" s="77" t="s">
        <v>419</v>
      </c>
      <c r="K124" s="32">
        <v>1710</v>
      </c>
      <c r="L124" s="32">
        <v>1710</v>
      </c>
      <c r="M124" s="108">
        <v>0</v>
      </c>
      <c r="N124" s="32"/>
      <c r="O124" s="32"/>
      <c r="P124" s="32"/>
    </row>
    <row r="125" spans="1:16">
      <c r="A125" s="57">
        <v>195</v>
      </c>
      <c r="B125" s="37">
        <v>44195</v>
      </c>
      <c r="C125" s="37">
        <v>44195</v>
      </c>
      <c r="D125" s="31" t="s">
        <v>1741</v>
      </c>
      <c r="E125" s="33">
        <v>21981031023</v>
      </c>
      <c r="F125" s="31" t="s">
        <v>11</v>
      </c>
      <c r="G125" s="31" t="s">
        <v>1742</v>
      </c>
      <c r="H125" s="77" t="s">
        <v>2217</v>
      </c>
      <c r="I125" s="31">
        <f>VLOOKUP(H125,PACOTES!B:E,4,FALSE)</f>
        <v>9</v>
      </c>
      <c r="J125" s="77" t="s">
        <v>419</v>
      </c>
      <c r="K125" s="32">
        <v>1800</v>
      </c>
      <c r="L125" s="32">
        <v>1800</v>
      </c>
      <c r="M125" s="108">
        <v>0</v>
      </c>
      <c r="N125" s="32"/>
      <c r="O125" s="32"/>
      <c r="P125" s="32"/>
    </row>
    <row r="126" spans="1:16">
      <c r="A126" s="57">
        <v>195</v>
      </c>
      <c r="B126" s="37">
        <v>44195</v>
      </c>
      <c r="C126" s="28">
        <v>44195</v>
      </c>
      <c r="D126" s="29" t="s">
        <v>1743</v>
      </c>
      <c r="E126" s="33">
        <v>21981031023</v>
      </c>
      <c r="F126" s="31" t="s">
        <v>11</v>
      </c>
      <c r="G126" s="31" t="s">
        <v>1744</v>
      </c>
      <c r="H126" s="77" t="s">
        <v>2217</v>
      </c>
      <c r="I126" s="31">
        <f>VLOOKUP(H126,PACOTES!B:E,4,FALSE)</f>
        <v>9</v>
      </c>
      <c r="J126" s="77" t="s">
        <v>419</v>
      </c>
      <c r="K126" s="32">
        <v>1800</v>
      </c>
      <c r="L126" s="32">
        <v>1800</v>
      </c>
      <c r="M126" s="108">
        <v>0</v>
      </c>
      <c r="N126" s="32"/>
      <c r="O126" s="32"/>
      <c r="P126" s="32"/>
    </row>
    <row r="127" spans="1:16">
      <c r="A127" s="57">
        <v>532</v>
      </c>
      <c r="B127" s="37">
        <v>44197</v>
      </c>
      <c r="C127" s="28">
        <v>44207</v>
      </c>
      <c r="D127" s="29" t="s">
        <v>1516</v>
      </c>
      <c r="E127" s="33">
        <v>62998680152</v>
      </c>
      <c r="F127" s="31" t="s">
        <v>11</v>
      </c>
      <c r="G127" s="31" t="s">
        <v>1405</v>
      </c>
      <c r="H127" s="77" t="s">
        <v>2217</v>
      </c>
      <c r="I127" s="31">
        <f>VLOOKUP(H127,PACOTES!B:E,4,FALSE)</f>
        <v>9</v>
      </c>
      <c r="J127" s="77" t="s">
        <v>419</v>
      </c>
      <c r="K127" s="32">
        <v>1710.26</v>
      </c>
      <c r="L127" s="32">
        <v>1710.26</v>
      </c>
      <c r="M127" s="108">
        <v>0</v>
      </c>
      <c r="N127" s="32"/>
      <c r="O127" s="32"/>
      <c r="P127" s="32"/>
    </row>
    <row r="128" spans="1:16">
      <c r="A128" s="57">
        <v>333</v>
      </c>
      <c r="B128" s="37">
        <v>44199</v>
      </c>
      <c r="C128" s="28">
        <v>44203</v>
      </c>
      <c r="D128" s="29" t="s">
        <v>1953</v>
      </c>
      <c r="E128" s="33">
        <v>21994022887</v>
      </c>
      <c r="F128" s="31" t="s">
        <v>10</v>
      </c>
      <c r="G128" s="31" t="s">
        <v>1264</v>
      </c>
      <c r="H128" s="77" t="s">
        <v>2218</v>
      </c>
      <c r="I128" s="31">
        <f>VLOOKUP(H128,PACOTES!B:E,4,FALSE)</f>
        <v>8</v>
      </c>
      <c r="J128" s="77" t="s">
        <v>419</v>
      </c>
      <c r="K128" s="32">
        <v>2950</v>
      </c>
      <c r="L128" s="32">
        <v>2950</v>
      </c>
      <c r="M128" s="108">
        <v>0</v>
      </c>
      <c r="N128" s="32"/>
      <c r="O128" s="32"/>
      <c r="P128" s="32"/>
    </row>
    <row r="129" spans="1:16">
      <c r="A129" s="57">
        <v>21</v>
      </c>
      <c r="B129" s="37">
        <v>44200</v>
      </c>
      <c r="C129" s="28">
        <v>44214</v>
      </c>
      <c r="D129" s="29" t="s">
        <v>1263</v>
      </c>
      <c r="E129" s="33">
        <v>21964256900</v>
      </c>
      <c r="F129" s="31" t="s">
        <v>10</v>
      </c>
      <c r="G129" s="31" t="s">
        <v>1264</v>
      </c>
      <c r="H129" s="77" t="s">
        <v>2224</v>
      </c>
      <c r="I129" s="31">
        <f>VLOOKUP(H129,PACOTES!B:E,4,FALSE)</f>
        <v>2</v>
      </c>
      <c r="J129" s="77" t="s">
        <v>419</v>
      </c>
      <c r="K129" s="32">
        <v>3700</v>
      </c>
      <c r="L129" s="32">
        <v>3700</v>
      </c>
      <c r="M129" s="108">
        <v>0</v>
      </c>
      <c r="N129" s="32"/>
      <c r="O129" s="32"/>
      <c r="P129" s="32"/>
    </row>
    <row r="130" spans="1:16">
      <c r="A130" s="57">
        <v>53</v>
      </c>
      <c r="B130" s="37">
        <v>44201</v>
      </c>
      <c r="C130" s="28">
        <v>44215</v>
      </c>
      <c r="D130" s="29" t="s">
        <v>1400</v>
      </c>
      <c r="E130" s="33">
        <v>21965023838</v>
      </c>
      <c r="F130" s="31" t="s">
        <v>10</v>
      </c>
      <c r="G130" s="31" t="s">
        <v>1264</v>
      </c>
      <c r="H130" s="77" t="s">
        <v>2221</v>
      </c>
      <c r="I130" s="31">
        <f>VLOOKUP(H130,PACOTES!B:E,4,FALSE)</f>
        <v>5</v>
      </c>
      <c r="J130" s="77" t="s">
        <v>419</v>
      </c>
      <c r="K130" s="32">
        <v>3000</v>
      </c>
      <c r="L130" s="32">
        <v>3000</v>
      </c>
      <c r="M130" s="108">
        <v>0</v>
      </c>
      <c r="N130" s="32"/>
      <c r="O130" s="32"/>
      <c r="P130" s="32"/>
    </row>
    <row r="131" spans="1:16">
      <c r="A131" s="57">
        <v>53</v>
      </c>
      <c r="B131" s="37">
        <v>44203</v>
      </c>
      <c r="C131" s="28">
        <v>44215</v>
      </c>
      <c r="D131" s="29" t="s">
        <v>1400</v>
      </c>
      <c r="E131" s="33">
        <v>21965023838</v>
      </c>
      <c r="F131" s="31" t="s">
        <v>10</v>
      </c>
      <c r="G131" s="31" t="s">
        <v>1233</v>
      </c>
      <c r="H131" s="77" t="s">
        <v>2221</v>
      </c>
      <c r="I131" s="31">
        <f>VLOOKUP(H131,PACOTES!B:E,4,FALSE)</f>
        <v>5</v>
      </c>
      <c r="J131" s="77" t="s">
        <v>419</v>
      </c>
      <c r="K131" s="32">
        <v>3000</v>
      </c>
      <c r="L131" s="32">
        <v>3000</v>
      </c>
      <c r="M131" s="108">
        <v>0</v>
      </c>
      <c r="N131" s="32"/>
      <c r="O131" s="32"/>
      <c r="P131" s="32"/>
    </row>
    <row r="132" spans="1:16">
      <c r="A132" s="57">
        <v>333</v>
      </c>
      <c r="B132" s="37">
        <v>44203</v>
      </c>
      <c r="C132" s="28">
        <v>44203</v>
      </c>
      <c r="D132" s="31" t="s">
        <v>1982</v>
      </c>
      <c r="E132" s="33">
        <v>21994022887</v>
      </c>
      <c r="F132" s="31" t="s">
        <v>10</v>
      </c>
      <c r="G132" s="31" t="s">
        <v>1983</v>
      </c>
      <c r="H132" s="77" t="s">
        <v>2217</v>
      </c>
      <c r="I132" s="31">
        <f>VLOOKUP(H132,PACOTES!B:E,4,FALSE)</f>
        <v>9</v>
      </c>
      <c r="J132" s="77" t="s">
        <v>419</v>
      </c>
      <c r="K132" s="32">
        <v>2950</v>
      </c>
      <c r="L132" s="32">
        <v>2950</v>
      </c>
      <c r="M132" s="108">
        <v>0</v>
      </c>
      <c r="N132" s="32"/>
      <c r="O132" s="32"/>
      <c r="P132" s="32"/>
    </row>
    <row r="133" spans="1:16">
      <c r="A133" s="57">
        <v>381</v>
      </c>
      <c r="B133" s="37">
        <v>44203</v>
      </c>
      <c r="C133" s="28">
        <v>44215</v>
      </c>
      <c r="D133" s="29" t="s">
        <v>1365</v>
      </c>
      <c r="E133" s="33">
        <v>21997642543</v>
      </c>
      <c r="F133" s="31" t="s">
        <v>10</v>
      </c>
      <c r="G133" s="31" t="s">
        <v>1283</v>
      </c>
      <c r="H133" s="77" t="s">
        <v>2220</v>
      </c>
      <c r="I133" s="31">
        <f>VLOOKUP(H133,PACOTES!B:E,4,FALSE)</f>
        <v>6</v>
      </c>
      <c r="J133" s="77" t="s">
        <v>419</v>
      </c>
      <c r="K133" s="32">
        <v>1600</v>
      </c>
      <c r="L133" s="32">
        <v>1600</v>
      </c>
      <c r="M133" s="108">
        <v>0</v>
      </c>
      <c r="N133" s="32"/>
      <c r="O133" s="32"/>
      <c r="P133" s="32"/>
    </row>
    <row r="134" spans="1:16">
      <c r="A134" s="57">
        <v>545</v>
      </c>
      <c r="B134" s="37">
        <v>44204</v>
      </c>
      <c r="C134" s="28">
        <v>44204</v>
      </c>
      <c r="D134" s="31" t="s">
        <v>1556</v>
      </c>
      <c r="E134" s="33">
        <v>71999966530</v>
      </c>
      <c r="F134" s="31" t="s">
        <v>12</v>
      </c>
      <c r="G134" s="31" t="s">
        <v>1191</v>
      </c>
      <c r="H134" s="77" t="s">
        <v>2217</v>
      </c>
      <c r="I134" s="31">
        <f>VLOOKUP(H134,PACOTES!B:E,4,FALSE)</f>
        <v>9</v>
      </c>
      <c r="J134" s="77" t="s">
        <v>419</v>
      </c>
      <c r="K134" s="32">
        <v>199</v>
      </c>
      <c r="L134" s="32">
        <v>199</v>
      </c>
      <c r="M134" s="108">
        <v>0</v>
      </c>
      <c r="N134" s="32"/>
      <c r="O134" s="32"/>
      <c r="P134" s="32"/>
    </row>
    <row r="135" spans="1:16">
      <c r="A135" s="57">
        <v>545</v>
      </c>
      <c r="B135" s="37">
        <v>44204</v>
      </c>
      <c r="C135" s="28">
        <v>44204</v>
      </c>
      <c r="D135" s="29" t="s">
        <v>1556</v>
      </c>
      <c r="E135" s="33">
        <v>71999966530</v>
      </c>
      <c r="F135" s="31" t="s">
        <v>12</v>
      </c>
      <c r="G135" s="31" t="s">
        <v>1304</v>
      </c>
      <c r="H135" s="77" t="s">
        <v>2217</v>
      </c>
      <c r="I135" s="31">
        <f>VLOOKUP(H135,PACOTES!B:E,4,FALSE)</f>
        <v>9</v>
      </c>
      <c r="J135" s="77" t="s">
        <v>419</v>
      </c>
      <c r="K135" s="32">
        <v>200</v>
      </c>
      <c r="L135" s="32">
        <v>200</v>
      </c>
      <c r="M135" s="108">
        <v>0</v>
      </c>
      <c r="N135" s="32"/>
      <c r="O135" s="32"/>
      <c r="P135" s="32"/>
    </row>
    <row r="136" spans="1:16">
      <c r="A136" s="57">
        <v>551</v>
      </c>
      <c r="B136" s="37">
        <v>44204</v>
      </c>
      <c r="C136" s="28">
        <v>44211</v>
      </c>
      <c r="D136" s="29" t="s">
        <v>1578</v>
      </c>
      <c r="E136" s="33">
        <v>92982241662</v>
      </c>
      <c r="F136" s="31" t="s">
        <v>11</v>
      </c>
      <c r="G136" s="31" t="s">
        <v>1582</v>
      </c>
      <c r="H136" s="77" t="s">
        <v>2217</v>
      </c>
      <c r="I136" s="31">
        <f>VLOOKUP(H136,PACOTES!B:E,4,FALSE)</f>
        <v>9</v>
      </c>
      <c r="J136" s="77" t="s">
        <v>419</v>
      </c>
      <c r="K136" s="32">
        <v>2150</v>
      </c>
      <c r="L136" s="32">
        <v>2150</v>
      </c>
      <c r="M136" s="108">
        <v>0</v>
      </c>
      <c r="N136" s="32"/>
      <c r="O136" s="32"/>
      <c r="P136" s="32"/>
    </row>
    <row r="137" spans="1:16">
      <c r="A137" s="57">
        <v>353</v>
      </c>
      <c r="B137" s="37">
        <v>44205</v>
      </c>
      <c r="C137" s="28">
        <v>44208</v>
      </c>
      <c r="D137" s="29" t="s">
        <v>2012</v>
      </c>
      <c r="E137" s="33">
        <v>21995688399</v>
      </c>
      <c r="F137" s="31" t="s">
        <v>11</v>
      </c>
      <c r="G137" s="31" t="s">
        <v>1744</v>
      </c>
      <c r="H137" s="77" t="s">
        <v>2217</v>
      </c>
      <c r="I137" s="31">
        <f>VLOOKUP(H137,PACOTES!B:E,4,FALSE)</f>
        <v>9</v>
      </c>
      <c r="J137" s="77" t="s">
        <v>419</v>
      </c>
      <c r="K137" s="32">
        <v>1744.92</v>
      </c>
      <c r="L137" s="32">
        <v>1744.92</v>
      </c>
      <c r="M137" s="108">
        <v>0</v>
      </c>
      <c r="N137" s="32"/>
      <c r="O137" s="32"/>
      <c r="P137" s="32"/>
    </row>
    <row r="138" spans="1:16">
      <c r="A138" s="57">
        <v>526</v>
      </c>
      <c r="B138" s="37">
        <v>44207</v>
      </c>
      <c r="C138" s="28">
        <v>44207</v>
      </c>
      <c r="D138" s="31" t="s">
        <v>1494</v>
      </c>
      <c r="E138" s="33">
        <v>61993304730</v>
      </c>
      <c r="F138" s="31" t="s">
        <v>11</v>
      </c>
      <c r="G138" s="31" t="s">
        <v>1224</v>
      </c>
      <c r="H138" s="77" t="s">
        <v>2217</v>
      </c>
      <c r="I138" s="31">
        <f>VLOOKUP(H138,PACOTES!B:E,4,FALSE)</f>
        <v>9</v>
      </c>
      <c r="J138" s="77" t="s">
        <v>419</v>
      </c>
      <c r="K138" s="32">
        <v>1710</v>
      </c>
      <c r="L138" s="32">
        <v>1710</v>
      </c>
      <c r="M138" s="108">
        <v>0</v>
      </c>
      <c r="N138" s="32"/>
      <c r="O138" s="32"/>
      <c r="P138" s="32"/>
    </row>
    <row r="139" spans="1:16">
      <c r="A139" s="57">
        <v>353</v>
      </c>
      <c r="B139" s="37">
        <v>44208</v>
      </c>
      <c r="C139" s="28">
        <v>44208</v>
      </c>
      <c r="D139" s="31" t="s">
        <v>2013</v>
      </c>
      <c r="E139" s="33">
        <v>21995688399</v>
      </c>
      <c r="F139" s="31" t="s">
        <v>11</v>
      </c>
      <c r="G139" s="31" t="s">
        <v>1293</v>
      </c>
      <c r="H139" s="77" t="s">
        <v>2217</v>
      </c>
      <c r="I139" s="31">
        <f>VLOOKUP(H139,PACOTES!B:E,4,FALSE)</f>
        <v>9</v>
      </c>
      <c r="J139" s="77" t="s">
        <v>419</v>
      </c>
      <c r="K139" s="32">
        <v>1898</v>
      </c>
      <c r="L139" s="32">
        <v>1898</v>
      </c>
      <c r="M139" s="108">
        <v>0</v>
      </c>
      <c r="N139" s="32"/>
      <c r="O139" s="32"/>
      <c r="P139" s="32"/>
    </row>
    <row r="140" spans="1:16">
      <c r="A140" s="57">
        <v>285</v>
      </c>
      <c r="B140" s="37">
        <v>44210</v>
      </c>
      <c r="C140" s="28">
        <v>44210</v>
      </c>
      <c r="D140" s="31" t="s">
        <v>1907</v>
      </c>
      <c r="E140" s="33">
        <v>21988316218</v>
      </c>
      <c r="F140" s="31" t="s">
        <v>11</v>
      </c>
      <c r="G140" s="31" t="s">
        <v>1288</v>
      </c>
      <c r="H140" s="77" t="s">
        <v>2225</v>
      </c>
      <c r="I140" s="31">
        <f>VLOOKUP(H140,PACOTES!B:E,4,FALSE)</f>
        <v>1</v>
      </c>
      <c r="J140" s="77" t="s">
        <v>419</v>
      </c>
      <c r="K140" s="32">
        <v>1950</v>
      </c>
      <c r="L140" s="32">
        <v>1950</v>
      </c>
      <c r="M140" s="108">
        <v>0</v>
      </c>
      <c r="N140" s="32"/>
      <c r="O140" s="32"/>
      <c r="P140" s="32"/>
    </row>
    <row r="141" spans="1:16">
      <c r="A141" s="57">
        <v>31</v>
      </c>
      <c r="B141" s="37">
        <v>44214</v>
      </c>
      <c r="C141" s="28">
        <v>44214</v>
      </c>
      <c r="D141" s="31" t="s">
        <v>1305</v>
      </c>
      <c r="E141" s="33">
        <v>21964372918</v>
      </c>
      <c r="F141" s="31" t="s">
        <v>12</v>
      </c>
      <c r="G141" s="31" t="s">
        <v>1191</v>
      </c>
      <c r="H141" s="77" t="s">
        <v>2217</v>
      </c>
      <c r="I141" s="31">
        <f>VLOOKUP(H141,PACOTES!B:E,4,FALSE)</f>
        <v>9</v>
      </c>
      <c r="J141" s="77" t="s">
        <v>419</v>
      </c>
      <c r="K141" s="32">
        <v>199</v>
      </c>
      <c r="L141" s="32">
        <v>199</v>
      </c>
      <c r="M141" s="108">
        <v>0</v>
      </c>
      <c r="N141" s="32"/>
      <c r="O141" s="32"/>
      <c r="P141" s="32"/>
    </row>
    <row r="142" spans="1:16">
      <c r="A142" s="57">
        <v>43</v>
      </c>
      <c r="B142" s="37">
        <v>44215</v>
      </c>
      <c r="C142" s="28">
        <v>44215</v>
      </c>
      <c r="D142" s="31" t="s">
        <v>1358</v>
      </c>
      <c r="E142" s="33">
        <v>21964707001</v>
      </c>
      <c r="F142" s="31" t="s">
        <v>11</v>
      </c>
      <c r="G142" s="31" t="s">
        <v>1359</v>
      </c>
      <c r="H142" s="77" t="s">
        <v>2217</v>
      </c>
      <c r="I142" s="31">
        <f>VLOOKUP(H142,PACOTES!B:E,4,FALSE)</f>
        <v>9</v>
      </c>
      <c r="J142" s="77" t="s">
        <v>419</v>
      </c>
      <c r="K142" s="32">
        <v>1950</v>
      </c>
      <c r="L142" s="32">
        <v>1950</v>
      </c>
      <c r="M142" s="108">
        <v>0</v>
      </c>
      <c r="N142" s="32"/>
      <c r="O142" s="32"/>
      <c r="P142" s="32"/>
    </row>
    <row r="143" spans="1:16">
      <c r="A143" s="57">
        <v>107</v>
      </c>
      <c r="B143" s="37">
        <v>44216</v>
      </c>
      <c r="C143" s="28">
        <v>44217</v>
      </c>
      <c r="D143" s="29" t="s">
        <v>1570</v>
      </c>
      <c r="E143" s="33">
        <v>21970194746</v>
      </c>
      <c r="F143" s="31" t="s">
        <v>11</v>
      </c>
      <c r="G143" s="31" t="s">
        <v>1430</v>
      </c>
      <c r="H143" s="77" t="s">
        <v>2217</v>
      </c>
      <c r="I143" s="31">
        <f>VLOOKUP(H143,PACOTES!B:E,4,FALSE)</f>
        <v>9</v>
      </c>
      <c r="J143" s="77" t="s">
        <v>419</v>
      </c>
      <c r="K143" s="32">
        <v>1846</v>
      </c>
      <c r="L143" s="32">
        <v>1846</v>
      </c>
      <c r="M143" s="108">
        <v>0</v>
      </c>
      <c r="N143" s="32"/>
      <c r="O143" s="32"/>
      <c r="P143" s="32"/>
    </row>
    <row r="144" spans="1:16">
      <c r="A144" s="57">
        <v>101</v>
      </c>
      <c r="B144" s="37">
        <v>44217</v>
      </c>
      <c r="C144" s="28">
        <v>44217</v>
      </c>
      <c r="D144" s="31" t="s">
        <v>1570</v>
      </c>
      <c r="E144" s="33">
        <v>21970086165</v>
      </c>
      <c r="F144" s="31" t="s">
        <v>11</v>
      </c>
      <c r="G144" s="31" t="s">
        <v>1251</v>
      </c>
      <c r="H144" s="77" t="s">
        <v>2217</v>
      </c>
      <c r="I144" s="31">
        <f>VLOOKUP(H144,PACOTES!B:E,4,FALSE)</f>
        <v>9</v>
      </c>
      <c r="J144" s="77" t="s">
        <v>419</v>
      </c>
      <c r="K144" s="32">
        <v>2099.9899999999998</v>
      </c>
      <c r="L144" s="32">
        <v>2099.9899999999998</v>
      </c>
      <c r="M144" s="108">
        <v>0</v>
      </c>
      <c r="N144" s="32"/>
      <c r="O144" s="32"/>
      <c r="P144" s="32"/>
    </row>
    <row r="145" spans="1:16">
      <c r="A145" s="57">
        <v>552</v>
      </c>
      <c r="B145" s="37">
        <v>44217</v>
      </c>
      <c r="C145" s="28">
        <v>44217</v>
      </c>
      <c r="D145" s="31" t="s">
        <v>1580</v>
      </c>
      <c r="E145" s="33">
        <v>92991813385</v>
      </c>
      <c r="F145" s="31" t="s">
        <v>11</v>
      </c>
      <c r="G145" s="31" t="s">
        <v>1437</v>
      </c>
      <c r="H145" s="77" t="s">
        <v>2217</v>
      </c>
      <c r="I145" s="31">
        <f>VLOOKUP(H145,PACOTES!B:E,4,FALSE)</f>
        <v>9</v>
      </c>
      <c r="J145" s="77" t="s">
        <v>419</v>
      </c>
      <c r="K145" s="32">
        <v>2000</v>
      </c>
      <c r="L145" s="32">
        <v>2000</v>
      </c>
      <c r="M145" s="108">
        <v>0</v>
      </c>
      <c r="N145" s="32"/>
      <c r="O145" s="32"/>
      <c r="P145" s="32"/>
    </row>
    <row r="146" spans="1:16">
      <c r="A146" s="57">
        <v>365</v>
      </c>
      <c r="B146" s="37">
        <v>44219</v>
      </c>
      <c r="C146" s="28">
        <v>44222</v>
      </c>
      <c r="D146" s="29" t="s">
        <v>2028</v>
      </c>
      <c r="E146" s="33">
        <v>21996547844</v>
      </c>
      <c r="F146" s="31" t="s">
        <v>11</v>
      </c>
      <c r="G146" s="31" t="s">
        <v>2029</v>
      </c>
      <c r="H146" s="77" t="s">
        <v>2217</v>
      </c>
      <c r="I146" s="31">
        <f>VLOOKUP(H146,PACOTES!B:E,4,FALSE)</f>
        <v>9</v>
      </c>
      <c r="J146" s="77" t="s">
        <v>419</v>
      </c>
      <c r="K146" s="32">
        <v>1804.72</v>
      </c>
      <c r="L146" s="32">
        <v>1804.72</v>
      </c>
      <c r="M146" s="108">
        <v>0</v>
      </c>
      <c r="N146" s="32"/>
      <c r="O146" s="32"/>
      <c r="P146" s="32"/>
    </row>
    <row r="147" spans="1:16">
      <c r="A147" s="57">
        <v>398</v>
      </c>
      <c r="B147" s="37">
        <v>44219</v>
      </c>
      <c r="C147" s="28">
        <v>44221</v>
      </c>
      <c r="D147" s="29" t="s">
        <v>1557</v>
      </c>
      <c r="E147" s="33">
        <v>21998973598</v>
      </c>
      <c r="F147" s="31" t="s">
        <v>11</v>
      </c>
      <c r="G147" s="31" t="s">
        <v>1430</v>
      </c>
      <c r="H147" s="77" t="s">
        <v>2217</v>
      </c>
      <c r="I147" s="31">
        <f>VLOOKUP(H147,PACOTES!B:E,4,FALSE)</f>
        <v>9</v>
      </c>
      <c r="J147" s="77" t="s">
        <v>419</v>
      </c>
      <c r="K147" s="32">
        <v>1710.26</v>
      </c>
      <c r="L147" s="32">
        <v>1710.26</v>
      </c>
      <c r="M147" s="108">
        <v>0</v>
      </c>
      <c r="N147" s="32"/>
      <c r="O147" s="32"/>
      <c r="P147" s="32"/>
    </row>
    <row r="148" spans="1:16">
      <c r="A148" s="57">
        <v>398</v>
      </c>
      <c r="B148" s="37">
        <v>44221</v>
      </c>
      <c r="C148" s="28">
        <v>44221</v>
      </c>
      <c r="D148" s="31" t="s">
        <v>2067</v>
      </c>
      <c r="E148" s="33">
        <v>21998973598</v>
      </c>
      <c r="F148" s="31" t="s">
        <v>11</v>
      </c>
      <c r="G148" s="31" t="s">
        <v>1327</v>
      </c>
      <c r="H148" s="77" t="s">
        <v>2217</v>
      </c>
      <c r="I148" s="31">
        <f>VLOOKUP(H148,PACOTES!B:E,4,FALSE)</f>
        <v>9</v>
      </c>
      <c r="J148" s="77" t="s">
        <v>419</v>
      </c>
      <c r="K148" s="32">
        <v>1899</v>
      </c>
      <c r="L148" s="32">
        <v>1899</v>
      </c>
      <c r="M148" s="108">
        <v>0</v>
      </c>
      <c r="N148" s="32"/>
      <c r="O148" s="32"/>
      <c r="P148" s="32"/>
    </row>
    <row r="149" spans="1:16">
      <c r="A149" s="57">
        <v>365</v>
      </c>
      <c r="B149" s="37">
        <v>44222</v>
      </c>
      <c r="C149" s="28">
        <v>44222</v>
      </c>
      <c r="D149" s="31" t="s">
        <v>2030</v>
      </c>
      <c r="E149" s="33">
        <v>21996547844</v>
      </c>
      <c r="F149" s="31" t="s">
        <v>11</v>
      </c>
      <c r="G149" s="31" t="s">
        <v>2010</v>
      </c>
      <c r="H149" s="77" t="s">
        <v>2217</v>
      </c>
      <c r="I149" s="31">
        <f>VLOOKUP(H149,PACOTES!B:E,4,FALSE)</f>
        <v>9</v>
      </c>
      <c r="J149" s="77" t="s">
        <v>419</v>
      </c>
      <c r="K149" s="32">
        <v>1950</v>
      </c>
      <c r="L149" s="32">
        <v>1950</v>
      </c>
      <c r="M149" s="108">
        <v>0</v>
      </c>
      <c r="N149" s="32"/>
      <c r="O149" s="32"/>
      <c r="P149" s="32"/>
    </row>
    <row r="150" spans="1:16">
      <c r="A150" s="57">
        <v>415</v>
      </c>
      <c r="B150" s="37">
        <v>44225</v>
      </c>
      <c r="C150" s="28">
        <v>44226</v>
      </c>
      <c r="D150" s="29" t="s">
        <v>2089</v>
      </c>
      <c r="E150" s="33">
        <v>22992285131</v>
      </c>
      <c r="F150" s="31" t="s">
        <v>11</v>
      </c>
      <c r="G150" s="31" t="s">
        <v>2090</v>
      </c>
      <c r="H150" s="77" t="s">
        <v>2217</v>
      </c>
      <c r="I150" s="31">
        <f>VLOOKUP(H150,PACOTES!B:E,4,FALSE)</f>
        <v>9</v>
      </c>
      <c r="J150" s="77" t="s">
        <v>419</v>
      </c>
      <c r="K150" s="32">
        <v>1958.06</v>
      </c>
      <c r="L150" s="32">
        <v>1958.06</v>
      </c>
      <c r="M150" s="108">
        <v>0</v>
      </c>
      <c r="N150" s="32"/>
      <c r="O150" s="32"/>
      <c r="P150" s="32"/>
    </row>
    <row r="151" spans="1:16">
      <c r="A151" s="57">
        <v>415</v>
      </c>
      <c r="B151" s="37">
        <v>44226</v>
      </c>
      <c r="C151" s="28">
        <v>44226</v>
      </c>
      <c r="D151" s="31" t="s">
        <v>2089</v>
      </c>
      <c r="E151" s="33">
        <v>22992285131</v>
      </c>
      <c r="F151" s="31" t="s">
        <v>11</v>
      </c>
      <c r="G151" s="31" t="s">
        <v>1573</v>
      </c>
      <c r="H151" s="77" t="s">
        <v>2217</v>
      </c>
      <c r="I151" s="31">
        <f>VLOOKUP(H151,PACOTES!B:E,4,FALSE)</f>
        <v>9</v>
      </c>
      <c r="J151" s="77" t="s">
        <v>419</v>
      </c>
      <c r="K151" s="32">
        <v>1950</v>
      </c>
      <c r="L151" s="32">
        <v>1950</v>
      </c>
      <c r="M151" s="108">
        <v>0</v>
      </c>
      <c r="N151" s="32"/>
      <c r="O151" s="32"/>
      <c r="P151" s="32"/>
    </row>
    <row r="152" spans="1:16">
      <c r="A152" s="57">
        <v>89</v>
      </c>
      <c r="B152" s="37">
        <v>44228</v>
      </c>
      <c r="C152" s="28">
        <v>44231</v>
      </c>
      <c r="D152" s="29" t="s">
        <v>1530</v>
      </c>
      <c r="E152" s="33">
        <v>21969312169</v>
      </c>
      <c r="F152" s="31" t="s">
        <v>11</v>
      </c>
      <c r="G152" s="31" t="s">
        <v>1430</v>
      </c>
      <c r="H152" s="77" t="s">
        <v>2218</v>
      </c>
      <c r="I152" s="31">
        <f>VLOOKUP(H152,PACOTES!B:E,4,FALSE)</f>
        <v>8</v>
      </c>
      <c r="J152" s="77" t="s">
        <v>419</v>
      </c>
      <c r="K152" s="32">
        <v>1707.21</v>
      </c>
      <c r="L152" s="32">
        <v>1707.21</v>
      </c>
      <c r="M152" s="108">
        <v>0</v>
      </c>
      <c r="N152" s="32"/>
      <c r="O152" s="32"/>
      <c r="P152" s="32"/>
    </row>
    <row r="153" spans="1:16">
      <c r="A153" s="57">
        <v>556</v>
      </c>
      <c r="B153" s="37">
        <v>44228</v>
      </c>
      <c r="C153" s="28">
        <v>44229</v>
      </c>
      <c r="D153" s="29" t="s">
        <v>2146</v>
      </c>
      <c r="E153" s="33">
        <v>98981718200</v>
      </c>
      <c r="F153" s="31" t="s">
        <v>11</v>
      </c>
      <c r="G153" s="31" t="s">
        <v>1291</v>
      </c>
      <c r="H153" s="77" t="s">
        <v>2222</v>
      </c>
      <c r="I153" s="31">
        <f>VLOOKUP(H153,PACOTES!B:E,4,FALSE)</f>
        <v>4</v>
      </c>
      <c r="J153" s="77" t="s">
        <v>419</v>
      </c>
      <c r="K153" s="32">
        <v>1855.26</v>
      </c>
      <c r="L153" s="32">
        <v>1855.26</v>
      </c>
      <c r="M153" s="108">
        <v>0</v>
      </c>
      <c r="N153" s="32"/>
      <c r="O153" s="32"/>
      <c r="P153" s="32"/>
    </row>
    <row r="154" spans="1:16">
      <c r="A154" s="57">
        <v>556</v>
      </c>
      <c r="B154" s="37">
        <v>44229</v>
      </c>
      <c r="C154" s="28">
        <v>44229</v>
      </c>
      <c r="D154" s="31" t="s">
        <v>1594</v>
      </c>
      <c r="E154" s="33">
        <v>98981718200</v>
      </c>
      <c r="F154" s="31" t="s">
        <v>11</v>
      </c>
      <c r="G154" s="31" t="s">
        <v>1327</v>
      </c>
      <c r="H154" s="77" t="s">
        <v>2221</v>
      </c>
      <c r="I154" s="31">
        <f>VLOOKUP(H154,PACOTES!B:E,4,FALSE)</f>
        <v>5</v>
      </c>
      <c r="J154" s="77" t="s">
        <v>419</v>
      </c>
      <c r="K154" s="32">
        <v>2249</v>
      </c>
      <c r="L154" s="32">
        <v>2249</v>
      </c>
      <c r="M154" s="108">
        <v>0</v>
      </c>
      <c r="N154" s="32"/>
      <c r="O154" s="32"/>
      <c r="P154" s="32"/>
    </row>
    <row r="155" spans="1:16">
      <c r="A155" s="57" t="s">
        <v>2214</v>
      </c>
      <c r="B155" s="37">
        <v>44229</v>
      </c>
      <c r="C155" s="28">
        <v>44231</v>
      </c>
      <c r="D155" s="29" t="s">
        <v>1755</v>
      </c>
      <c r="E155" s="33" t="s">
        <v>2147</v>
      </c>
      <c r="F155" s="31" t="s">
        <v>11</v>
      </c>
      <c r="G155" s="31" t="s">
        <v>2090</v>
      </c>
      <c r="H155" s="77" t="s">
        <v>2218</v>
      </c>
      <c r="I155" s="31">
        <f>VLOOKUP(H155,PACOTES!B:E,4,FALSE)</f>
        <v>8</v>
      </c>
      <c r="J155" s="77" t="s">
        <v>419</v>
      </c>
      <c r="K155" s="32">
        <v>1758.45</v>
      </c>
      <c r="L155" s="32">
        <v>1758.45</v>
      </c>
      <c r="M155" s="108">
        <v>0</v>
      </c>
      <c r="N155" s="32"/>
      <c r="O155" s="32"/>
      <c r="P155" s="32"/>
    </row>
    <row r="156" spans="1:16">
      <c r="A156" s="57">
        <v>89</v>
      </c>
      <c r="B156" s="37">
        <v>44231</v>
      </c>
      <c r="C156" s="28">
        <v>44231</v>
      </c>
      <c r="D156" s="31" t="s">
        <v>1530</v>
      </c>
      <c r="E156" s="33">
        <v>21969312169</v>
      </c>
      <c r="F156" s="31" t="s">
        <v>11</v>
      </c>
      <c r="G156" s="31" t="s">
        <v>1531</v>
      </c>
      <c r="H156" s="77" t="s">
        <v>2218</v>
      </c>
      <c r="I156" s="31">
        <f>VLOOKUP(H156,PACOTES!B:E,4,FALSE)</f>
        <v>8</v>
      </c>
      <c r="J156" s="77" t="s">
        <v>419</v>
      </c>
      <c r="K156" s="32">
        <v>1950</v>
      </c>
      <c r="L156" s="32">
        <v>1950</v>
      </c>
      <c r="M156" s="108">
        <v>0</v>
      </c>
      <c r="N156" s="32"/>
      <c r="O156" s="32"/>
      <c r="P156" s="32"/>
    </row>
    <row r="157" spans="1:16">
      <c r="A157" s="57" t="s">
        <v>2214</v>
      </c>
      <c r="B157" s="37">
        <v>44231</v>
      </c>
      <c r="C157" s="28">
        <v>44231</v>
      </c>
      <c r="D157" s="31" t="s">
        <v>1755</v>
      </c>
      <c r="E157" s="33" t="s">
        <v>2147</v>
      </c>
      <c r="F157" s="31" t="s">
        <v>11</v>
      </c>
      <c r="G157" s="31" t="s">
        <v>2148</v>
      </c>
      <c r="H157" s="77" t="s">
        <v>2218</v>
      </c>
      <c r="I157" s="31">
        <f>VLOOKUP(H157,PACOTES!B:E,4,FALSE)</f>
        <v>8</v>
      </c>
      <c r="J157" s="77" t="s">
        <v>419</v>
      </c>
      <c r="K157" s="32">
        <v>1758.45</v>
      </c>
      <c r="L157" s="32">
        <v>1758.45</v>
      </c>
      <c r="M157" s="108">
        <v>0</v>
      </c>
      <c r="N157" s="32"/>
      <c r="O157" s="32"/>
      <c r="P157" s="32"/>
    </row>
    <row r="158" spans="1:16">
      <c r="A158" s="57">
        <v>543</v>
      </c>
      <c r="B158" s="37">
        <v>44248</v>
      </c>
      <c r="C158" s="28">
        <v>44250</v>
      </c>
      <c r="D158" s="29" t="s">
        <v>1548</v>
      </c>
      <c r="E158" s="33">
        <v>71999191981</v>
      </c>
      <c r="F158" s="31" t="s">
        <v>11</v>
      </c>
      <c r="G158" s="31" t="s">
        <v>1552</v>
      </c>
      <c r="H158" s="77" t="s">
        <v>2217</v>
      </c>
      <c r="I158" s="31">
        <f>VLOOKUP(H158,PACOTES!B:E,4,FALSE)</f>
        <v>9</v>
      </c>
      <c r="J158" s="77" t="s">
        <v>419</v>
      </c>
      <c r="K158" s="32">
        <v>1708.26</v>
      </c>
      <c r="L158" s="32">
        <v>1708.26</v>
      </c>
      <c r="M158" s="108">
        <v>0</v>
      </c>
      <c r="N158" s="32"/>
      <c r="O158" s="32"/>
      <c r="P158" s="32"/>
    </row>
    <row r="159" spans="1:16">
      <c r="A159" s="57">
        <v>284</v>
      </c>
      <c r="B159" s="37">
        <v>44248</v>
      </c>
      <c r="C159" s="28">
        <v>44249</v>
      </c>
      <c r="D159" s="29" t="s">
        <v>1904</v>
      </c>
      <c r="E159" s="33">
        <v>21988282845</v>
      </c>
      <c r="F159" s="31" t="s">
        <v>11</v>
      </c>
      <c r="G159" s="31" t="s">
        <v>1500</v>
      </c>
      <c r="H159" s="77" t="s">
        <v>2217</v>
      </c>
      <c r="I159" s="31">
        <f>VLOOKUP(H159,PACOTES!B:E,4,FALSE)</f>
        <v>9</v>
      </c>
      <c r="J159" s="77" t="s">
        <v>419</v>
      </c>
      <c r="K159" s="32">
        <v>1560.37</v>
      </c>
      <c r="L159" s="32">
        <v>1560.37</v>
      </c>
      <c r="M159" s="108">
        <v>0</v>
      </c>
      <c r="N159" s="32"/>
      <c r="O159" s="32"/>
      <c r="P159" s="32"/>
    </row>
    <row r="160" spans="1:16">
      <c r="A160" s="57">
        <v>542</v>
      </c>
      <c r="B160" s="37">
        <v>44249</v>
      </c>
      <c r="C160" s="28">
        <v>44249</v>
      </c>
      <c r="D160" s="31" t="s">
        <v>1548</v>
      </c>
      <c r="E160" s="33">
        <v>71988888602</v>
      </c>
      <c r="F160" s="31" t="s">
        <v>11</v>
      </c>
      <c r="G160" s="31" t="s">
        <v>1549</v>
      </c>
      <c r="H160" s="77" t="s">
        <v>2217</v>
      </c>
      <c r="I160" s="31">
        <f>VLOOKUP(H160,PACOTES!B:E,4,FALSE)</f>
        <v>9</v>
      </c>
      <c r="J160" s="77" t="s">
        <v>419</v>
      </c>
      <c r="K160" s="32">
        <v>1558.26</v>
      </c>
      <c r="L160" s="32">
        <v>1558.26</v>
      </c>
      <c r="M160" s="108">
        <v>0</v>
      </c>
      <c r="N160" s="32"/>
      <c r="O160" s="32"/>
      <c r="P160" s="32"/>
    </row>
    <row r="161" spans="1:16">
      <c r="A161" s="57">
        <v>284</v>
      </c>
      <c r="B161" s="37">
        <v>44249</v>
      </c>
      <c r="C161" s="28">
        <v>44249</v>
      </c>
      <c r="D161" s="31" t="s">
        <v>1905</v>
      </c>
      <c r="E161" s="33">
        <v>21988282845</v>
      </c>
      <c r="F161" s="31" t="s">
        <v>11</v>
      </c>
      <c r="G161" s="31" t="s">
        <v>1906</v>
      </c>
      <c r="H161" s="77" t="s">
        <v>2217</v>
      </c>
      <c r="I161" s="31">
        <f>VLOOKUP(H161,PACOTES!B:E,4,FALSE)</f>
        <v>9</v>
      </c>
      <c r="J161" s="77" t="s">
        <v>419</v>
      </c>
      <c r="K161" s="32">
        <v>1898</v>
      </c>
      <c r="L161" s="32">
        <v>1898</v>
      </c>
      <c r="M161" s="108">
        <v>0</v>
      </c>
      <c r="N161" s="32"/>
      <c r="O161" s="32"/>
      <c r="P161" s="32"/>
    </row>
    <row r="162" spans="1:16">
      <c r="A162" s="57">
        <v>474</v>
      </c>
      <c r="B162" s="37">
        <v>44251</v>
      </c>
      <c r="C162" s="28">
        <v>44252</v>
      </c>
      <c r="D162" s="29" t="s">
        <v>1282</v>
      </c>
      <c r="E162" s="33">
        <v>12997194608</v>
      </c>
      <c r="F162" s="31" t="s">
        <v>11</v>
      </c>
      <c r="G162" s="31" t="s">
        <v>1283</v>
      </c>
      <c r="H162" s="77" t="s">
        <v>2217</v>
      </c>
      <c r="I162" s="31">
        <f>VLOOKUP(H162,PACOTES!B:E,4,FALSE)</f>
        <v>9</v>
      </c>
      <c r="J162" s="77" t="s">
        <v>419</v>
      </c>
      <c r="K162" s="32">
        <v>1541.66</v>
      </c>
      <c r="L162" s="32">
        <v>1541.66</v>
      </c>
      <c r="M162" s="108">
        <v>0</v>
      </c>
      <c r="N162" s="32"/>
      <c r="O162" s="32"/>
      <c r="P162" s="32"/>
    </row>
    <row r="163" spans="1:16" s="4" customFormat="1">
      <c r="A163" s="57">
        <v>53</v>
      </c>
      <c r="B163" s="37">
        <v>44256</v>
      </c>
      <c r="C163" s="28">
        <v>44256</v>
      </c>
      <c r="D163" s="29" t="s">
        <v>1400</v>
      </c>
      <c r="E163" s="31">
        <v>21965023838</v>
      </c>
      <c r="F163" s="31" t="s">
        <v>7</v>
      </c>
      <c r="G163" s="31" t="s">
        <v>1401</v>
      </c>
      <c r="H163" s="77" t="s">
        <v>2214</v>
      </c>
      <c r="I163" s="31"/>
      <c r="J163" s="77" t="s">
        <v>2214</v>
      </c>
      <c r="K163" s="32">
        <v>2200</v>
      </c>
      <c r="L163" s="32">
        <v>2200</v>
      </c>
      <c r="M163" s="108">
        <v>0</v>
      </c>
      <c r="N163" s="104" t="s">
        <v>2214</v>
      </c>
      <c r="O163" s="32"/>
      <c r="P163" s="32"/>
    </row>
    <row r="164" spans="1:16">
      <c r="A164" s="57">
        <v>163</v>
      </c>
      <c r="B164" s="37">
        <v>44256</v>
      </c>
      <c r="C164" s="28">
        <v>44256</v>
      </c>
      <c r="D164" s="29" t="s">
        <v>1691</v>
      </c>
      <c r="E164" s="30">
        <v>21976023932</v>
      </c>
      <c r="F164" s="31" t="s">
        <v>11</v>
      </c>
      <c r="G164" s="31" t="s">
        <v>1426</v>
      </c>
      <c r="H164" s="77" t="s">
        <v>2217</v>
      </c>
      <c r="I164" s="31">
        <f>VLOOKUP(H164,PACOTES!B:E,4,FALSE)</f>
        <v>9</v>
      </c>
      <c r="J164" s="77" t="s">
        <v>419</v>
      </c>
      <c r="K164" s="32">
        <v>0</v>
      </c>
      <c r="L164" s="32" t="s">
        <v>13</v>
      </c>
      <c r="M164" s="108">
        <v>0</v>
      </c>
      <c r="N164" s="32"/>
      <c r="O164" s="32"/>
      <c r="P164" s="32"/>
    </row>
    <row r="165" spans="1:16">
      <c r="A165" s="57">
        <v>221</v>
      </c>
      <c r="B165" s="37">
        <v>44259</v>
      </c>
      <c r="C165" s="28">
        <v>44260</v>
      </c>
      <c r="D165" s="29" t="s">
        <v>1785</v>
      </c>
      <c r="E165" s="33">
        <v>21982245680</v>
      </c>
      <c r="F165" s="31" t="s">
        <v>11</v>
      </c>
      <c r="G165" s="31" t="s">
        <v>1405</v>
      </c>
      <c r="H165" s="77" t="s">
        <v>2217</v>
      </c>
      <c r="I165" s="31">
        <f>VLOOKUP(H165,PACOTES!B:E,4,FALSE)</f>
        <v>9</v>
      </c>
      <c r="J165" s="77" t="s">
        <v>419</v>
      </c>
      <c r="K165" s="32">
        <v>1595.16</v>
      </c>
      <c r="L165" s="32">
        <v>1595.16</v>
      </c>
      <c r="M165" s="108">
        <v>0</v>
      </c>
      <c r="N165" s="32"/>
      <c r="O165" s="32"/>
      <c r="P165" s="32"/>
    </row>
    <row r="166" spans="1:16">
      <c r="A166" s="57">
        <v>221</v>
      </c>
      <c r="B166" s="37">
        <v>44260</v>
      </c>
      <c r="C166" s="28">
        <v>44260</v>
      </c>
      <c r="D166" s="31" t="s">
        <v>1786</v>
      </c>
      <c r="E166" s="33">
        <v>21982245680</v>
      </c>
      <c r="F166" s="31" t="s">
        <v>11</v>
      </c>
      <c r="G166" s="31" t="s">
        <v>1787</v>
      </c>
      <c r="H166" s="77" t="s">
        <v>2217</v>
      </c>
      <c r="I166" s="31">
        <f>VLOOKUP(H166,PACOTES!B:E,4,FALSE)</f>
        <v>9</v>
      </c>
      <c r="J166" s="77" t="s">
        <v>419</v>
      </c>
      <c r="K166" s="32">
        <v>1595.96</v>
      </c>
      <c r="L166" s="32">
        <v>1595.96</v>
      </c>
      <c r="M166" s="108">
        <v>0</v>
      </c>
      <c r="N166" s="32"/>
      <c r="O166" s="32"/>
      <c r="P166" s="32"/>
    </row>
    <row r="167" spans="1:16">
      <c r="A167" s="57">
        <v>331</v>
      </c>
      <c r="B167" s="37">
        <v>44275</v>
      </c>
      <c r="C167" s="28">
        <v>44275</v>
      </c>
      <c r="D167" s="31" t="s">
        <v>1977</v>
      </c>
      <c r="E167" s="33">
        <v>21993460100</v>
      </c>
      <c r="F167" s="31" t="s">
        <v>10</v>
      </c>
      <c r="G167" s="31" t="s">
        <v>1978</v>
      </c>
      <c r="H167" s="77" t="s">
        <v>2217</v>
      </c>
      <c r="I167" s="31">
        <f>VLOOKUP(H167,PACOTES!B:E,4,FALSE)</f>
        <v>9</v>
      </c>
      <c r="J167" s="77" t="s">
        <v>419</v>
      </c>
      <c r="K167" s="32">
        <v>2337.16</v>
      </c>
      <c r="L167" s="32">
        <v>2337.16</v>
      </c>
      <c r="M167" s="108">
        <v>0</v>
      </c>
      <c r="N167" s="32"/>
      <c r="O167" s="32"/>
      <c r="P167" s="32"/>
    </row>
    <row r="168" spans="1:16">
      <c r="A168" s="57">
        <v>355</v>
      </c>
      <c r="B168" s="37">
        <v>44277</v>
      </c>
      <c r="C168" s="28">
        <v>44278</v>
      </c>
      <c r="D168" s="29" t="s">
        <v>2014</v>
      </c>
      <c r="E168" s="33">
        <v>21995957962</v>
      </c>
      <c r="F168" s="31" t="s">
        <v>11</v>
      </c>
      <c r="G168" s="31" t="s">
        <v>1233</v>
      </c>
      <c r="H168" s="77" t="s">
        <v>2217</v>
      </c>
      <c r="I168" s="31">
        <f>VLOOKUP(H168,PACOTES!B:E,4,FALSE)</f>
        <v>9</v>
      </c>
      <c r="J168" s="77" t="s">
        <v>419</v>
      </c>
      <c r="K168" s="32">
        <v>1950</v>
      </c>
      <c r="L168" s="32">
        <v>1950</v>
      </c>
      <c r="M168" s="108">
        <v>0</v>
      </c>
      <c r="N168" s="32"/>
      <c r="O168" s="32"/>
      <c r="P168" s="32"/>
    </row>
    <row r="169" spans="1:16">
      <c r="A169" s="57">
        <v>355</v>
      </c>
      <c r="B169" s="37">
        <v>44278</v>
      </c>
      <c r="C169" s="28">
        <v>44278</v>
      </c>
      <c r="D169" s="31" t="s">
        <v>2015</v>
      </c>
      <c r="E169" s="33">
        <v>21995957962</v>
      </c>
      <c r="F169" s="31" t="s">
        <v>11</v>
      </c>
      <c r="G169" s="31" t="s">
        <v>1742</v>
      </c>
      <c r="H169" s="77" t="s">
        <v>2217</v>
      </c>
      <c r="I169" s="31">
        <f>VLOOKUP(H169,PACOTES!B:E,4,FALSE)</f>
        <v>9</v>
      </c>
      <c r="J169" s="77" t="s">
        <v>419</v>
      </c>
      <c r="K169" s="32">
        <v>1695.26</v>
      </c>
      <c r="L169" s="32">
        <v>1695.26</v>
      </c>
      <c r="M169" s="108">
        <v>0</v>
      </c>
      <c r="N169" s="32"/>
      <c r="O169" s="32"/>
      <c r="P169" s="32"/>
    </row>
    <row r="170" spans="1:16">
      <c r="A170" s="57">
        <v>98</v>
      </c>
      <c r="B170" s="37">
        <v>44279</v>
      </c>
      <c r="C170" s="28">
        <v>44280</v>
      </c>
      <c r="D170" s="29" t="s">
        <v>1560</v>
      </c>
      <c r="E170" s="33">
        <v>21970029437</v>
      </c>
      <c r="F170" s="31" t="s">
        <v>11</v>
      </c>
      <c r="G170" s="31" t="s">
        <v>1561</v>
      </c>
      <c r="H170" s="77" t="s">
        <v>2217</v>
      </c>
      <c r="I170" s="31">
        <f>VLOOKUP(H170,PACOTES!B:E,4,FALSE)</f>
        <v>9</v>
      </c>
      <c r="J170" s="77" t="s">
        <v>419</v>
      </c>
      <c r="K170" s="32">
        <v>1625.26</v>
      </c>
      <c r="L170" s="32">
        <v>1625.26</v>
      </c>
      <c r="M170" s="108">
        <v>0</v>
      </c>
      <c r="N170" s="32"/>
      <c r="O170" s="32"/>
      <c r="P170" s="32"/>
    </row>
    <row r="171" spans="1:16">
      <c r="A171" s="57">
        <v>246</v>
      </c>
      <c r="B171" s="37">
        <v>44279</v>
      </c>
      <c r="C171" s="28">
        <v>44280</v>
      </c>
      <c r="D171" s="29" t="s">
        <v>1833</v>
      </c>
      <c r="E171" s="33">
        <v>21983758587</v>
      </c>
      <c r="F171" s="31" t="s">
        <v>11</v>
      </c>
      <c r="G171" s="31" t="s">
        <v>1552</v>
      </c>
      <c r="H171" s="77" t="s">
        <v>2217</v>
      </c>
      <c r="I171" s="31">
        <f>VLOOKUP(H171,PACOTES!B:E,4,FALSE)</f>
        <v>9</v>
      </c>
      <c r="J171" s="77" t="s">
        <v>419</v>
      </c>
      <c r="K171" s="32">
        <v>1800</v>
      </c>
      <c r="L171" s="32">
        <v>1800</v>
      </c>
      <c r="M171" s="108">
        <v>0</v>
      </c>
      <c r="N171" s="32"/>
      <c r="O171" s="32"/>
      <c r="P171" s="32"/>
    </row>
    <row r="172" spans="1:16">
      <c r="A172" s="57">
        <v>26</v>
      </c>
      <c r="B172" s="37">
        <v>44280</v>
      </c>
      <c r="C172" s="28">
        <v>44280</v>
      </c>
      <c r="D172" s="31" t="s">
        <v>1284</v>
      </c>
      <c r="E172" s="33">
        <v>21964340544</v>
      </c>
      <c r="F172" s="31" t="s">
        <v>11</v>
      </c>
      <c r="G172" s="31" t="s">
        <v>1255</v>
      </c>
      <c r="H172" s="77" t="s">
        <v>2217</v>
      </c>
      <c r="I172" s="31">
        <f>VLOOKUP(H172,PACOTES!B:E,4,FALSE)</f>
        <v>9</v>
      </c>
      <c r="J172" s="77" t="s">
        <v>419</v>
      </c>
      <c r="K172" s="32">
        <v>2099</v>
      </c>
      <c r="L172" s="32">
        <v>2099</v>
      </c>
      <c r="M172" s="108">
        <v>0</v>
      </c>
      <c r="N172" s="32"/>
      <c r="O172" s="32"/>
      <c r="P172" s="32"/>
    </row>
    <row r="173" spans="1:16">
      <c r="A173" s="57">
        <v>246</v>
      </c>
      <c r="B173" s="37">
        <v>44280</v>
      </c>
      <c r="C173" s="28">
        <v>44280</v>
      </c>
      <c r="D173" s="31" t="s">
        <v>1833</v>
      </c>
      <c r="E173" s="33">
        <v>21983758587</v>
      </c>
      <c r="F173" s="31" t="s">
        <v>11</v>
      </c>
      <c r="G173" s="31" t="s">
        <v>1251</v>
      </c>
      <c r="H173" s="77" t="s">
        <v>2217</v>
      </c>
      <c r="I173" s="31">
        <f>VLOOKUP(H173,PACOTES!B:E,4,FALSE)</f>
        <v>9</v>
      </c>
      <c r="J173" s="77" t="s">
        <v>419</v>
      </c>
      <c r="K173" s="32">
        <v>1800</v>
      </c>
      <c r="L173" s="32">
        <v>1800</v>
      </c>
      <c r="M173" s="108">
        <v>0</v>
      </c>
      <c r="N173" s="32"/>
      <c r="O173" s="32"/>
      <c r="P173" s="32"/>
    </row>
    <row r="174" spans="1:16">
      <c r="A174" s="57">
        <v>413</v>
      </c>
      <c r="B174" s="37">
        <v>44280</v>
      </c>
      <c r="C174" s="28">
        <v>44280</v>
      </c>
      <c r="D174" s="29" t="s">
        <v>2088</v>
      </c>
      <c r="E174" s="31">
        <v>22988181644</v>
      </c>
      <c r="F174" s="31" t="s">
        <v>11</v>
      </c>
      <c r="G174" s="31" t="s">
        <v>1500</v>
      </c>
      <c r="H174" s="77" t="s">
        <v>2217</v>
      </c>
      <c r="I174" s="31">
        <f>VLOOKUP(H174,PACOTES!B:E,4,FALSE)</f>
        <v>9</v>
      </c>
      <c r="J174" s="77" t="s">
        <v>419</v>
      </c>
      <c r="K174" s="32">
        <v>0</v>
      </c>
      <c r="L174" s="32" t="s">
        <v>13</v>
      </c>
      <c r="M174" s="108">
        <v>0</v>
      </c>
      <c r="N174" s="32"/>
      <c r="O174" s="32"/>
      <c r="P174" s="32"/>
    </row>
    <row r="175" spans="1:16">
      <c r="A175" s="57" t="s">
        <v>13</v>
      </c>
      <c r="B175" s="37">
        <v>44280</v>
      </c>
      <c r="C175" s="28">
        <v>44280</v>
      </c>
      <c r="D175" s="29" t="s">
        <v>1483</v>
      </c>
      <c r="E175" s="31" t="s">
        <v>13</v>
      </c>
      <c r="F175" s="31" t="s">
        <v>13</v>
      </c>
      <c r="G175" s="31" t="s">
        <v>13</v>
      </c>
      <c r="H175" s="77" t="s">
        <v>2218</v>
      </c>
      <c r="I175" s="31">
        <f>VLOOKUP(H175,PACOTES!B:E,4,FALSE)</f>
        <v>8</v>
      </c>
      <c r="J175" s="77" t="s">
        <v>419</v>
      </c>
      <c r="K175" s="32">
        <v>0</v>
      </c>
      <c r="L175" s="32" t="s">
        <v>13</v>
      </c>
      <c r="M175" s="108">
        <v>0</v>
      </c>
      <c r="N175" s="32"/>
      <c r="O175" s="32"/>
      <c r="P175" s="32"/>
    </row>
    <row r="176" spans="1:16">
      <c r="A176" s="57">
        <v>53</v>
      </c>
      <c r="B176" s="37">
        <v>44286</v>
      </c>
      <c r="C176" s="28">
        <v>44286</v>
      </c>
      <c r="D176" s="29" t="s">
        <v>1400</v>
      </c>
      <c r="E176" s="33">
        <v>21965023838</v>
      </c>
      <c r="F176" s="31" t="s">
        <v>10</v>
      </c>
      <c r="G176" s="31" t="s">
        <v>1283</v>
      </c>
      <c r="H176" s="77" t="s">
        <v>2221</v>
      </c>
      <c r="I176" s="31">
        <f>VLOOKUP(H176,PACOTES!B:E,4,FALSE)</f>
        <v>5</v>
      </c>
      <c r="J176" s="77" t="s">
        <v>419</v>
      </c>
      <c r="K176" s="32">
        <v>3000</v>
      </c>
      <c r="L176" s="32">
        <v>3000</v>
      </c>
      <c r="M176" s="108">
        <v>0</v>
      </c>
      <c r="N176" s="32"/>
      <c r="O176" s="32"/>
      <c r="P176" s="32"/>
    </row>
    <row r="177" spans="1:16">
      <c r="A177" s="57">
        <v>53</v>
      </c>
      <c r="B177" s="37">
        <v>44287</v>
      </c>
      <c r="C177" s="28">
        <v>44296</v>
      </c>
      <c r="D177" s="29" t="s">
        <v>1400</v>
      </c>
      <c r="E177" s="33">
        <v>21965023838</v>
      </c>
      <c r="F177" s="31" t="s">
        <v>10</v>
      </c>
      <c r="G177" s="31" t="s">
        <v>1402</v>
      </c>
      <c r="H177" s="77" t="s">
        <v>2221</v>
      </c>
      <c r="I177" s="31">
        <f>VLOOKUP(H177,PACOTES!B:E,4,FALSE)</f>
        <v>5</v>
      </c>
      <c r="J177" s="77" t="s">
        <v>419</v>
      </c>
      <c r="K177" s="32">
        <v>3020</v>
      </c>
      <c r="L177" s="32">
        <v>3020</v>
      </c>
      <c r="M177" s="108">
        <v>0</v>
      </c>
      <c r="N177" s="32"/>
      <c r="O177" s="32"/>
      <c r="P177" s="32"/>
    </row>
    <row r="178" spans="1:16">
      <c r="A178" s="57">
        <v>529</v>
      </c>
      <c r="B178" s="37">
        <v>44291</v>
      </c>
      <c r="C178" s="28">
        <v>44291</v>
      </c>
      <c r="D178" s="29" t="s">
        <v>1506</v>
      </c>
      <c r="E178" s="33">
        <v>61998588468</v>
      </c>
      <c r="F178" s="31" t="s">
        <v>11</v>
      </c>
      <c r="G178" s="31" t="s">
        <v>1507</v>
      </c>
      <c r="H178" s="77" t="s">
        <v>2224</v>
      </c>
      <c r="I178" s="31">
        <f>VLOOKUP(H178,PACOTES!B:E,4,FALSE)</f>
        <v>2</v>
      </c>
      <c r="J178" s="77" t="s">
        <v>419</v>
      </c>
      <c r="K178" s="32">
        <v>1625.26</v>
      </c>
      <c r="L178" s="32">
        <v>1625.26</v>
      </c>
      <c r="M178" s="108">
        <v>0</v>
      </c>
      <c r="N178" s="32"/>
      <c r="O178" s="32"/>
      <c r="P178" s="32"/>
    </row>
    <row r="179" spans="1:16">
      <c r="A179" s="57">
        <v>264</v>
      </c>
      <c r="B179" s="37">
        <v>44294</v>
      </c>
      <c r="C179" s="28">
        <v>44294</v>
      </c>
      <c r="D179" s="29" t="s">
        <v>1863</v>
      </c>
      <c r="E179" s="33">
        <v>21986248884</v>
      </c>
      <c r="F179" s="31" t="s">
        <v>11</v>
      </c>
      <c r="G179" s="31" t="s">
        <v>1430</v>
      </c>
      <c r="H179" s="77" t="s">
        <v>2220</v>
      </c>
      <c r="I179" s="31">
        <f>VLOOKUP(H179,PACOTES!B:E,4,FALSE)</f>
        <v>6</v>
      </c>
      <c r="J179" s="77" t="s">
        <v>419</v>
      </c>
      <c r="K179" s="32">
        <v>1677.26</v>
      </c>
      <c r="L179" s="32">
        <v>1677.26</v>
      </c>
      <c r="M179" s="108">
        <v>0</v>
      </c>
      <c r="N179" s="32"/>
      <c r="O179" s="32"/>
      <c r="P179" s="32"/>
    </row>
    <row r="180" spans="1:16">
      <c r="A180" s="57">
        <v>331</v>
      </c>
      <c r="B180" s="37">
        <v>44294</v>
      </c>
      <c r="C180" s="28">
        <v>44275</v>
      </c>
      <c r="D180" s="29" t="s">
        <v>1979</v>
      </c>
      <c r="E180" s="33">
        <v>21993460100</v>
      </c>
      <c r="F180" s="31" t="s">
        <v>10</v>
      </c>
      <c r="G180" s="31" t="s">
        <v>1947</v>
      </c>
      <c r="H180" s="77" t="s">
        <v>2217</v>
      </c>
      <c r="I180" s="31">
        <f>VLOOKUP(H180,PACOTES!B:E,4,FALSE)</f>
        <v>9</v>
      </c>
      <c r="J180" s="77" t="s">
        <v>419</v>
      </c>
      <c r="K180" s="32">
        <v>2337.16</v>
      </c>
      <c r="L180" s="32">
        <v>2337.16</v>
      </c>
      <c r="M180" s="108">
        <v>0</v>
      </c>
      <c r="N180" s="32"/>
      <c r="O180" s="32"/>
      <c r="P180" s="32"/>
    </row>
    <row r="181" spans="1:16">
      <c r="A181" s="57">
        <v>265</v>
      </c>
      <c r="B181" s="37">
        <v>44297</v>
      </c>
      <c r="C181" s="28">
        <v>44297</v>
      </c>
      <c r="D181" s="29" t="s">
        <v>1864</v>
      </c>
      <c r="E181" s="33">
        <v>21986303290</v>
      </c>
      <c r="F181" s="31" t="s">
        <v>11</v>
      </c>
      <c r="G181" s="31" t="s">
        <v>1865</v>
      </c>
      <c r="H181" s="77" t="s">
        <v>2217</v>
      </c>
      <c r="I181" s="31">
        <f>VLOOKUP(H181,PACOTES!B:E,4,FALSE)</f>
        <v>9</v>
      </c>
      <c r="J181" s="77" t="s">
        <v>419</v>
      </c>
      <c r="K181" s="32">
        <v>1800</v>
      </c>
      <c r="L181" s="32">
        <v>1800</v>
      </c>
      <c r="M181" s="108">
        <v>0</v>
      </c>
      <c r="N181" s="32"/>
      <c r="O181" s="32"/>
      <c r="P181" s="32"/>
    </row>
    <row r="182" spans="1:16">
      <c r="A182" s="57">
        <v>360</v>
      </c>
      <c r="B182" s="37">
        <v>44308</v>
      </c>
      <c r="C182" s="28">
        <v>44673</v>
      </c>
      <c r="D182" s="29" t="s">
        <v>1429</v>
      </c>
      <c r="E182" s="30">
        <v>21996104224</v>
      </c>
      <c r="F182" s="31" t="s">
        <v>10</v>
      </c>
      <c r="G182" s="31" t="s">
        <v>2022</v>
      </c>
      <c r="H182" s="77" t="s">
        <v>2217</v>
      </c>
      <c r="I182" s="31">
        <f>VLOOKUP(H182,PACOTES!B:E,4,FALSE)</f>
        <v>9</v>
      </c>
      <c r="J182" s="77" t="s">
        <v>419</v>
      </c>
      <c r="K182" s="32">
        <v>0</v>
      </c>
      <c r="L182" s="32" t="s">
        <v>13</v>
      </c>
      <c r="M182" s="108">
        <v>0</v>
      </c>
      <c r="N182" s="32"/>
      <c r="O182" s="32"/>
      <c r="P182" s="32"/>
    </row>
    <row r="183" spans="1:16">
      <c r="A183" s="57">
        <v>452</v>
      </c>
      <c r="B183" s="37">
        <v>44309</v>
      </c>
      <c r="C183" s="28">
        <v>44309</v>
      </c>
      <c r="D183" s="29" t="s">
        <v>1194</v>
      </c>
      <c r="E183" s="33">
        <v>11947411832</v>
      </c>
      <c r="F183" s="31" t="s">
        <v>12</v>
      </c>
      <c r="G183" s="31" t="s">
        <v>12</v>
      </c>
      <c r="H183" s="77" t="s">
        <v>2217</v>
      </c>
      <c r="I183" s="31">
        <f>VLOOKUP(H183,PACOTES!B:E,4,FALSE)</f>
        <v>9</v>
      </c>
      <c r="J183" s="77" t="s">
        <v>419</v>
      </c>
      <c r="K183" s="32">
        <v>167.99</v>
      </c>
      <c r="L183" s="32">
        <v>167.99</v>
      </c>
      <c r="M183" s="108">
        <v>0</v>
      </c>
      <c r="N183" s="32"/>
      <c r="O183" s="32"/>
      <c r="P183" s="32"/>
    </row>
    <row r="184" spans="1:16">
      <c r="A184" s="57">
        <v>533</v>
      </c>
      <c r="B184" s="37">
        <v>44309</v>
      </c>
      <c r="C184" s="28">
        <v>44309</v>
      </c>
      <c r="D184" s="29" t="s">
        <v>1520</v>
      </c>
      <c r="E184" s="33">
        <v>63981100793</v>
      </c>
      <c r="F184" s="31" t="s">
        <v>12</v>
      </c>
      <c r="G184" s="31" t="s">
        <v>12</v>
      </c>
      <c r="H184" s="77" t="s">
        <v>2217</v>
      </c>
      <c r="I184" s="31">
        <f>VLOOKUP(H184,PACOTES!B:E,4,FALSE)</f>
        <v>9</v>
      </c>
      <c r="J184" s="77" t="s">
        <v>419</v>
      </c>
      <c r="K184" s="32">
        <v>167.99</v>
      </c>
      <c r="L184" s="32">
        <v>167.99</v>
      </c>
      <c r="M184" s="108">
        <v>0</v>
      </c>
      <c r="N184" s="32"/>
      <c r="O184" s="32"/>
      <c r="P184" s="32"/>
    </row>
    <row r="185" spans="1:16">
      <c r="A185" s="57">
        <v>250</v>
      </c>
      <c r="B185" s="37">
        <v>44309</v>
      </c>
      <c r="C185" s="28">
        <v>44309</v>
      </c>
      <c r="D185" s="29" t="s">
        <v>1840</v>
      </c>
      <c r="E185" s="33">
        <v>21984529374</v>
      </c>
      <c r="F185" s="31" t="s">
        <v>10</v>
      </c>
      <c r="G185" s="31" t="s">
        <v>1611</v>
      </c>
      <c r="H185" s="77" t="s">
        <v>2221</v>
      </c>
      <c r="I185" s="31">
        <f>VLOOKUP(H185,PACOTES!B:E,4,FALSE)</f>
        <v>5</v>
      </c>
      <c r="J185" s="77" t="s">
        <v>419</v>
      </c>
      <c r="K185" s="32">
        <v>3150</v>
      </c>
      <c r="L185" s="32">
        <v>3150</v>
      </c>
      <c r="M185" s="108">
        <v>0</v>
      </c>
      <c r="N185" s="32"/>
      <c r="O185" s="32"/>
      <c r="P185" s="32"/>
    </row>
    <row r="186" spans="1:16">
      <c r="A186" s="57">
        <v>246</v>
      </c>
      <c r="B186" s="37">
        <v>44310</v>
      </c>
      <c r="C186" s="28">
        <v>44290</v>
      </c>
      <c r="D186" s="29" t="s">
        <v>1833</v>
      </c>
      <c r="E186" s="33">
        <v>21983758587</v>
      </c>
      <c r="F186" s="31" t="s">
        <v>7</v>
      </c>
      <c r="G186" s="31" t="s">
        <v>1401</v>
      </c>
      <c r="H186" s="77" t="s">
        <v>2214</v>
      </c>
      <c r="I186" s="31"/>
      <c r="J186" s="77" t="s">
        <v>2214</v>
      </c>
      <c r="K186" s="32">
        <v>2400</v>
      </c>
      <c r="L186" s="32">
        <v>2400</v>
      </c>
      <c r="M186" s="108">
        <v>0</v>
      </c>
      <c r="N186" s="104" t="s">
        <v>2214</v>
      </c>
      <c r="O186" s="32"/>
      <c r="P186" s="32"/>
    </row>
    <row r="187" spans="1:16">
      <c r="A187" s="57">
        <v>152</v>
      </c>
      <c r="B187" s="37">
        <v>44317</v>
      </c>
      <c r="C187" s="28">
        <v>44317</v>
      </c>
      <c r="D187" s="29" t="s">
        <v>1677</v>
      </c>
      <c r="E187" s="33">
        <v>21974612789</v>
      </c>
      <c r="F187" s="31" t="s">
        <v>10</v>
      </c>
      <c r="G187" s="31" t="s">
        <v>1403</v>
      </c>
      <c r="H187" s="77" t="s">
        <v>2217</v>
      </c>
      <c r="I187" s="31">
        <f>VLOOKUP(H187,PACOTES!B:E,4,FALSE)</f>
        <v>9</v>
      </c>
      <c r="J187" s="77" t="s">
        <v>419</v>
      </c>
      <c r="K187" s="32">
        <v>3600</v>
      </c>
      <c r="L187" s="32">
        <v>3600</v>
      </c>
      <c r="M187" s="108">
        <v>0</v>
      </c>
      <c r="N187" s="32"/>
      <c r="O187" s="32"/>
      <c r="P187" s="32"/>
    </row>
    <row r="188" spans="1:16">
      <c r="A188" s="57">
        <v>507</v>
      </c>
      <c r="B188" s="37">
        <v>44337</v>
      </c>
      <c r="C188" s="28">
        <v>44337</v>
      </c>
      <c r="D188" s="29" t="s">
        <v>1429</v>
      </c>
      <c r="E188" s="33">
        <v>42991140105</v>
      </c>
      <c r="F188" s="31" t="s">
        <v>11</v>
      </c>
      <c r="G188" s="31" t="s">
        <v>1430</v>
      </c>
      <c r="H188" s="77" t="s">
        <v>2218</v>
      </c>
      <c r="I188" s="31">
        <f>VLOOKUP(H188,PACOTES!B:E,4,FALSE)</f>
        <v>8</v>
      </c>
      <c r="J188" s="77" t="s">
        <v>419</v>
      </c>
      <c r="K188" s="32">
        <v>1687.23</v>
      </c>
      <c r="L188" s="32">
        <v>1687.23</v>
      </c>
      <c r="M188" s="108">
        <v>0</v>
      </c>
      <c r="N188" s="32"/>
      <c r="O188" s="32"/>
      <c r="P188" s="32"/>
    </row>
    <row r="189" spans="1:16">
      <c r="A189" s="57">
        <v>123</v>
      </c>
      <c r="B189" s="37">
        <v>44337</v>
      </c>
      <c r="C189" s="28">
        <v>44337</v>
      </c>
      <c r="D189" s="29" t="s">
        <v>1628</v>
      </c>
      <c r="E189" s="33">
        <v>21971368983</v>
      </c>
      <c r="F189" s="31" t="s">
        <v>11</v>
      </c>
      <c r="G189" s="31" t="s">
        <v>1430</v>
      </c>
      <c r="H189" s="77" t="s">
        <v>2217</v>
      </c>
      <c r="I189" s="31">
        <f>VLOOKUP(H189,PACOTES!B:E,4,FALSE)</f>
        <v>9</v>
      </c>
      <c r="J189" s="77" t="s">
        <v>419</v>
      </c>
      <c r="K189" s="32">
        <v>1687.23</v>
      </c>
      <c r="L189" s="32">
        <v>1687.23</v>
      </c>
      <c r="M189" s="108">
        <v>0</v>
      </c>
      <c r="N189" s="32"/>
      <c r="O189" s="32"/>
      <c r="P189" s="32"/>
    </row>
    <row r="190" spans="1:16">
      <c r="A190" s="57">
        <v>130</v>
      </c>
      <c r="B190" s="37">
        <v>44337</v>
      </c>
      <c r="C190" s="28">
        <v>44337</v>
      </c>
      <c r="D190" s="29" t="s">
        <v>1633</v>
      </c>
      <c r="E190" s="33">
        <v>21972130976</v>
      </c>
      <c r="F190" s="31" t="s">
        <v>10</v>
      </c>
      <c r="G190" s="31" t="s">
        <v>1283</v>
      </c>
      <c r="H190" s="77" t="s">
        <v>2219</v>
      </c>
      <c r="I190" s="31">
        <f>VLOOKUP(H190,PACOTES!B:E,4,FALSE)</f>
        <v>7</v>
      </c>
      <c r="J190" s="77" t="s">
        <v>419</v>
      </c>
      <c r="K190" s="32">
        <v>3600</v>
      </c>
      <c r="L190" s="32">
        <v>3600</v>
      </c>
      <c r="M190" s="108">
        <v>0</v>
      </c>
      <c r="N190" s="32"/>
      <c r="O190" s="32"/>
      <c r="P190" s="32"/>
    </row>
    <row r="191" spans="1:16">
      <c r="A191" s="57">
        <v>250</v>
      </c>
      <c r="B191" s="37">
        <v>44337</v>
      </c>
      <c r="C191" s="28">
        <v>44337</v>
      </c>
      <c r="D191" s="29" t="s">
        <v>1840</v>
      </c>
      <c r="E191" s="33">
        <v>21984529374</v>
      </c>
      <c r="F191" s="31" t="s">
        <v>10</v>
      </c>
      <c r="G191" s="31" t="s">
        <v>1611</v>
      </c>
      <c r="H191" s="77" t="s">
        <v>2221</v>
      </c>
      <c r="I191" s="31">
        <f>VLOOKUP(H191,PACOTES!B:E,4,FALSE)</f>
        <v>5</v>
      </c>
      <c r="J191" s="77" t="s">
        <v>419</v>
      </c>
      <c r="K191" s="32">
        <v>3150</v>
      </c>
      <c r="L191" s="32">
        <v>3150</v>
      </c>
      <c r="M191" s="108">
        <v>0</v>
      </c>
      <c r="N191" s="32"/>
      <c r="O191" s="32"/>
      <c r="P191" s="32"/>
    </row>
    <row r="192" spans="1:16" s="4" customFormat="1">
      <c r="A192" s="57">
        <v>311</v>
      </c>
      <c r="B192" s="37">
        <v>44337</v>
      </c>
      <c r="C192" s="28">
        <v>44337</v>
      </c>
      <c r="D192" s="29" t="s">
        <v>1946</v>
      </c>
      <c r="E192" s="33">
        <v>21991759077</v>
      </c>
      <c r="F192" s="31" t="s">
        <v>10</v>
      </c>
      <c r="G192" s="31" t="s">
        <v>1947</v>
      </c>
      <c r="H192" s="31" t="s">
        <v>1324</v>
      </c>
      <c r="I192" s="31"/>
      <c r="J192" s="77" t="s">
        <v>419</v>
      </c>
      <c r="K192" s="32">
        <v>2351.16</v>
      </c>
      <c r="L192" s="32">
        <v>2351.16</v>
      </c>
      <c r="M192" s="108">
        <v>0</v>
      </c>
      <c r="N192" s="32"/>
      <c r="O192" s="32"/>
      <c r="P192" s="32"/>
    </row>
    <row r="193" spans="1:16" s="4" customFormat="1">
      <c r="A193" s="76" t="s">
        <v>2214</v>
      </c>
      <c r="B193" s="37">
        <v>44337</v>
      </c>
      <c r="C193" s="28">
        <v>44337</v>
      </c>
      <c r="D193" s="29" t="s">
        <v>2149</v>
      </c>
      <c r="E193" s="33">
        <v>21985552076</v>
      </c>
      <c r="F193" s="31" t="s">
        <v>7</v>
      </c>
      <c r="G193" s="31" t="s">
        <v>2150</v>
      </c>
      <c r="H193" s="77" t="s">
        <v>2214</v>
      </c>
      <c r="I193" s="31"/>
      <c r="J193" s="77" t="s">
        <v>2214</v>
      </c>
      <c r="K193" s="32">
        <v>1450</v>
      </c>
      <c r="L193" s="32">
        <v>1450</v>
      </c>
      <c r="M193" s="108">
        <v>0</v>
      </c>
      <c r="N193" s="104" t="s">
        <v>2214</v>
      </c>
      <c r="O193" s="32"/>
      <c r="P193" s="32"/>
    </row>
    <row r="194" spans="1:16" s="4" customFormat="1">
      <c r="A194" s="57">
        <v>306</v>
      </c>
      <c r="B194" s="37">
        <v>44343</v>
      </c>
      <c r="C194" s="28">
        <v>44358</v>
      </c>
      <c r="D194" s="29" t="s">
        <v>1938</v>
      </c>
      <c r="E194" s="33">
        <v>21991320451</v>
      </c>
      <c r="F194" s="31" t="s">
        <v>10</v>
      </c>
      <c r="G194" s="31" t="s">
        <v>1939</v>
      </c>
      <c r="H194" s="77" t="s">
        <v>2217</v>
      </c>
      <c r="I194" s="31">
        <f>VLOOKUP(H194,PACOTES!B:E,4,FALSE)</f>
        <v>9</v>
      </c>
      <c r="J194" s="77" t="s">
        <v>134</v>
      </c>
      <c r="K194" s="32">
        <v>4200</v>
      </c>
      <c r="L194" s="32">
        <v>4200</v>
      </c>
      <c r="M194" s="108">
        <v>0</v>
      </c>
      <c r="N194" s="32"/>
      <c r="O194" s="32"/>
      <c r="P194" s="32"/>
    </row>
    <row r="195" spans="1:16" s="4" customFormat="1">
      <c r="A195" s="57">
        <v>332</v>
      </c>
      <c r="B195" s="37">
        <v>44347</v>
      </c>
      <c r="C195" s="28">
        <v>44352</v>
      </c>
      <c r="D195" s="29" t="s">
        <v>1623</v>
      </c>
      <c r="E195" s="33">
        <v>21993781748</v>
      </c>
      <c r="F195" s="31" t="s">
        <v>10</v>
      </c>
      <c r="G195" s="31" t="s">
        <v>1403</v>
      </c>
      <c r="H195" s="77" t="s">
        <v>2222</v>
      </c>
      <c r="I195" s="31">
        <f>VLOOKUP(H195,PACOTES!B:E,4,FALSE)</f>
        <v>4</v>
      </c>
      <c r="J195" s="77" t="s">
        <v>419</v>
      </c>
      <c r="K195" s="32">
        <v>3100</v>
      </c>
      <c r="L195" s="32">
        <v>3100</v>
      </c>
      <c r="M195" s="108">
        <v>0</v>
      </c>
      <c r="N195" s="32"/>
      <c r="O195" s="32"/>
      <c r="P195" s="32"/>
    </row>
    <row r="196" spans="1:16" s="4" customFormat="1">
      <c r="A196" s="57">
        <v>463</v>
      </c>
      <c r="B196" s="37">
        <v>44352</v>
      </c>
      <c r="C196" s="28">
        <v>44357</v>
      </c>
      <c r="D196" s="29" t="s">
        <v>1236</v>
      </c>
      <c r="E196" s="33">
        <v>11981741558</v>
      </c>
      <c r="F196" s="31" t="s">
        <v>11</v>
      </c>
      <c r="G196" s="31" t="s">
        <v>1237</v>
      </c>
      <c r="H196" s="77" t="s">
        <v>2217</v>
      </c>
      <c r="I196" s="31">
        <f>VLOOKUP(H196,PACOTES!B:E,4,FALSE)</f>
        <v>9</v>
      </c>
      <c r="J196" s="77" t="s">
        <v>419</v>
      </c>
      <c r="K196" s="32">
        <v>1687.23</v>
      </c>
      <c r="L196" s="32">
        <v>1687.23</v>
      </c>
      <c r="M196" s="108">
        <v>0</v>
      </c>
      <c r="N196" s="32"/>
      <c r="O196" s="32"/>
      <c r="P196" s="32"/>
    </row>
    <row r="197" spans="1:16" s="4" customFormat="1">
      <c r="A197" s="57">
        <v>88</v>
      </c>
      <c r="B197" s="37">
        <v>44355</v>
      </c>
      <c r="C197" s="28">
        <v>44365</v>
      </c>
      <c r="D197" s="29" t="s">
        <v>1527</v>
      </c>
      <c r="E197" s="33">
        <v>21969307101</v>
      </c>
      <c r="F197" s="31" t="s">
        <v>10</v>
      </c>
      <c r="G197" s="31" t="s">
        <v>1403</v>
      </c>
      <c r="H197" s="77" t="s">
        <v>2217</v>
      </c>
      <c r="I197" s="31">
        <f>VLOOKUP(H197,PACOTES!B:E,4,FALSE)</f>
        <v>9</v>
      </c>
      <c r="J197" s="77" t="s">
        <v>134</v>
      </c>
      <c r="K197" s="32">
        <v>3700</v>
      </c>
      <c r="L197" s="32">
        <v>3700</v>
      </c>
      <c r="M197" s="108">
        <v>0</v>
      </c>
      <c r="N197" s="32"/>
      <c r="O197" s="32"/>
      <c r="P197" s="32"/>
    </row>
    <row r="198" spans="1:16">
      <c r="A198" s="57">
        <v>379</v>
      </c>
      <c r="B198" s="37">
        <v>44358</v>
      </c>
      <c r="C198" s="28">
        <v>44359</v>
      </c>
      <c r="D198" s="29" t="s">
        <v>2049</v>
      </c>
      <c r="E198" s="33">
        <v>21997463954</v>
      </c>
      <c r="F198" s="31" t="s">
        <v>11</v>
      </c>
      <c r="G198" s="31" t="s">
        <v>1405</v>
      </c>
      <c r="H198" s="77" t="s">
        <v>2217</v>
      </c>
      <c r="I198" s="31">
        <f>VLOOKUP(H198,PACOTES!B:E,4,FALSE)</f>
        <v>9</v>
      </c>
      <c r="J198" s="77" t="s">
        <v>419</v>
      </c>
      <c r="K198" s="32">
        <v>2100</v>
      </c>
      <c r="L198" s="32">
        <v>2100</v>
      </c>
      <c r="M198" s="108">
        <v>0</v>
      </c>
      <c r="N198" s="32"/>
      <c r="O198" s="32"/>
      <c r="P198" s="32"/>
    </row>
    <row r="199" spans="1:16">
      <c r="A199" s="57">
        <v>208</v>
      </c>
      <c r="B199" s="37">
        <v>44361</v>
      </c>
      <c r="C199" s="28">
        <v>44361</v>
      </c>
      <c r="D199" s="29" t="s">
        <v>1763</v>
      </c>
      <c r="E199" s="33">
        <v>21981652575</v>
      </c>
      <c r="F199" s="31" t="s">
        <v>11</v>
      </c>
      <c r="G199" s="31" t="s">
        <v>1430</v>
      </c>
      <c r="H199" s="77" t="s">
        <v>2224</v>
      </c>
      <c r="I199" s="31">
        <f>VLOOKUP(H199,PACOTES!B:E,4,FALSE)</f>
        <v>2</v>
      </c>
      <c r="J199" s="77" t="s">
        <v>419</v>
      </c>
      <c r="K199" s="32">
        <v>1800</v>
      </c>
      <c r="L199" s="32">
        <v>1800</v>
      </c>
      <c r="M199" s="108">
        <v>0</v>
      </c>
      <c r="N199" s="32"/>
      <c r="O199" s="32"/>
      <c r="P199" s="32"/>
    </row>
    <row r="200" spans="1:16">
      <c r="A200" s="57">
        <v>233</v>
      </c>
      <c r="B200" s="37">
        <v>44362</v>
      </c>
      <c r="C200" s="28">
        <v>44378</v>
      </c>
      <c r="D200" s="29" t="s">
        <v>1806</v>
      </c>
      <c r="E200" s="33">
        <v>21982788575</v>
      </c>
      <c r="F200" s="31" t="s">
        <v>10</v>
      </c>
      <c r="G200" s="31" t="s">
        <v>1807</v>
      </c>
      <c r="H200" s="77" t="s">
        <v>2225</v>
      </c>
      <c r="I200" s="31">
        <f>VLOOKUP(H200,PACOTES!B:E,4,FALSE)</f>
        <v>1</v>
      </c>
      <c r="J200" s="77" t="s">
        <v>134</v>
      </c>
      <c r="K200" s="32">
        <v>3333.35</v>
      </c>
      <c r="L200" s="32">
        <v>3333.35</v>
      </c>
      <c r="M200" s="108">
        <v>0</v>
      </c>
      <c r="N200" s="32"/>
      <c r="O200" s="32"/>
      <c r="P200" s="32"/>
    </row>
    <row r="201" spans="1:16">
      <c r="A201" s="57">
        <v>477</v>
      </c>
      <c r="B201" s="37">
        <v>44371</v>
      </c>
      <c r="C201" s="28">
        <v>44371</v>
      </c>
      <c r="D201" s="29" t="s">
        <v>1296</v>
      </c>
      <c r="E201" s="33">
        <v>15996434549</v>
      </c>
      <c r="F201" s="31" t="s">
        <v>11</v>
      </c>
      <c r="G201" s="31" t="s">
        <v>1297</v>
      </c>
      <c r="H201" s="77" t="s">
        <v>2218</v>
      </c>
      <c r="I201" s="31">
        <f>VLOOKUP(H201,PACOTES!B:E,4,FALSE)</f>
        <v>8</v>
      </c>
      <c r="J201" s="77" t="s">
        <v>419</v>
      </c>
      <c r="K201" s="32">
        <v>1800</v>
      </c>
      <c r="L201" s="32">
        <v>1800</v>
      </c>
      <c r="M201" s="108">
        <v>0</v>
      </c>
      <c r="N201" s="32"/>
      <c r="O201" s="32"/>
      <c r="P201" s="32"/>
    </row>
    <row r="202" spans="1:16">
      <c r="A202" s="57">
        <v>332</v>
      </c>
      <c r="B202" s="37">
        <v>44371</v>
      </c>
      <c r="C202" s="28">
        <v>44371</v>
      </c>
      <c r="D202" s="29" t="s">
        <v>1623</v>
      </c>
      <c r="E202" s="33">
        <v>21993781748</v>
      </c>
      <c r="F202" s="31" t="s">
        <v>10</v>
      </c>
      <c r="G202" s="31" t="s">
        <v>1980</v>
      </c>
      <c r="H202" s="77" t="s">
        <v>2222</v>
      </c>
      <c r="I202" s="31">
        <f>VLOOKUP(H202,PACOTES!B:E,4,FALSE)</f>
        <v>4</v>
      </c>
      <c r="J202" s="77" t="s">
        <v>419</v>
      </c>
      <c r="K202" s="32">
        <v>3100</v>
      </c>
      <c r="L202" s="32">
        <v>3100</v>
      </c>
      <c r="M202" s="108">
        <v>0</v>
      </c>
      <c r="N202" s="32"/>
      <c r="O202" s="32"/>
      <c r="P202" s="32"/>
    </row>
    <row r="203" spans="1:16">
      <c r="A203" s="57">
        <v>332</v>
      </c>
      <c r="B203" s="37">
        <v>44382</v>
      </c>
      <c r="C203" s="28">
        <v>44382</v>
      </c>
      <c r="D203" s="29" t="s">
        <v>1623</v>
      </c>
      <c r="E203" s="33">
        <v>21993781748</v>
      </c>
      <c r="F203" s="31" t="s">
        <v>7</v>
      </c>
      <c r="G203" s="31" t="s">
        <v>7</v>
      </c>
      <c r="H203" s="77" t="s">
        <v>2214</v>
      </c>
      <c r="I203" s="31"/>
      <c r="J203" s="77" t="s">
        <v>2214</v>
      </c>
      <c r="K203" s="32">
        <v>2000</v>
      </c>
      <c r="L203" s="32">
        <v>2000</v>
      </c>
      <c r="M203" s="108">
        <v>0</v>
      </c>
      <c r="N203" s="104" t="s">
        <v>2214</v>
      </c>
      <c r="O203" s="32"/>
      <c r="P203" s="32"/>
    </row>
    <row r="204" spans="1:16">
      <c r="A204" s="57">
        <v>53</v>
      </c>
      <c r="B204" s="37">
        <v>44385</v>
      </c>
      <c r="C204" s="28">
        <v>44385</v>
      </c>
      <c r="D204" s="29" t="s">
        <v>1400</v>
      </c>
      <c r="E204" s="33">
        <v>21965023838</v>
      </c>
      <c r="F204" s="31" t="s">
        <v>7</v>
      </c>
      <c r="G204" s="31" t="s">
        <v>7</v>
      </c>
      <c r="H204" s="77" t="s">
        <v>2214</v>
      </c>
      <c r="I204" s="31"/>
      <c r="J204" s="77" t="s">
        <v>2214</v>
      </c>
      <c r="K204" s="32">
        <v>2200</v>
      </c>
      <c r="L204" s="32">
        <v>2200</v>
      </c>
      <c r="M204" s="108">
        <v>0</v>
      </c>
      <c r="N204" s="104" t="s">
        <v>2214</v>
      </c>
      <c r="O204" s="32"/>
      <c r="P204" s="32"/>
    </row>
    <row r="205" spans="1:16">
      <c r="A205" s="57">
        <v>145</v>
      </c>
      <c r="B205" s="37">
        <v>44385</v>
      </c>
      <c r="C205" s="28">
        <v>44385</v>
      </c>
      <c r="D205" s="29" t="s">
        <v>1665</v>
      </c>
      <c r="E205" s="33">
        <v>21973972047</v>
      </c>
      <c r="F205" s="31" t="s">
        <v>10</v>
      </c>
      <c r="G205" s="31" t="s">
        <v>1666</v>
      </c>
      <c r="H205" s="77" t="s">
        <v>2217</v>
      </c>
      <c r="I205" s="31">
        <f>VLOOKUP(H205,PACOTES!B:E,4,FALSE)</f>
        <v>9</v>
      </c>
      <c r="J205" s="77" t="s">
        <v>419</v>
      </c>
      <c r="K205" s="32">
        <v>3100</v>
      </c>
      <c r="L205" s="32">
        <v>3100</v>
      </c>
      <c r="M205" s="108">
        <v>0</v>
      </c>
      <c r="N205" s="32"/>
      <c r="O205" s="32"/>
      <c r="P205" s="32"/>
    </row>
    <row r="206" spans="1:16">
      <c r="A206" s="57">
        <v>332</v>
      </c>
      <c r="B206" s="37">
        <v>44385</v>
      </c>
      <c r="C206" s="28">
        <v>44385</v>
      </c>
      <c r="D206" s="29" t="s">
        <v>1623</v>
      </c>
      <c r="E206" s="33">
        <v>21993781748</v>
      </c>
      <c r="F206" s="31" t="s">
        <v>10</v>
      </c>
      <c r="G206" s="31" t="s">
        <v>1981</v>
      </c>
      <c r="H206" s="77" t="s">
        <v>2222</v>
      </c>
      <c r="I206" s="31">
        <f>VLOOKUP(H206,PACOTES!B:E,4,FALSE)</f>
        <v>4</v>
      </c>
      <c r="J206" s="77" t="s">
        <v>419</v>
      </c>
      <c r="K206" s="32">
        <v>3100</v>
      </c>
      <c r="L206" s="32">
        <v>3100</v>
      </c>
      <c r="M206" s="108">
        <v>0</v>
      </c>
      <c r="N206" s="32"/>
      <c r="O206" s="32"/>
      <c r="P206" s="32"/>
    </row>
    <row r="207" spans="1:16">
      <c r="A207" s="57">
        <v>272</v>
      </c>
      <c r="B207" s="37">
        <v>44387</v>
      </c>
      <c r="C207" s="28">
        <v>44387</v>
      </c>
      <c r="D207" s="29" t="s">
        <v>1883</v>
      </c>
      <c r="E207" s="33">
        <v>21987216350</v>
      </c>
      <c r="F207" s="31" t="s">
        <v>10</v>
      </c>
      <c r="G207" s="31" t="s">
        <v>1403</v>
      </c>
      <c r="H207" s="77" t="s">
        <v>2218</v>
      </c>
      <c r="I207" s="31">
        <f>VLOOKUP(H207,PACOTES!B:E,4,FALSE)</f>
        <v>8</v>
      </c>
      <c r="J207" s="77" t="s">
        <v>134</v>
      </c>
      <c r="K207" s="32">
        <v>4700</v>
      </c>
      <c r="L207" s="32">
        <v>4700</v>
      </c>
      <c r="M207" s="108">
        <v>0</v>
      </c>
      <c r="N207" s="32"/>
      <c r="O207" s="32"/>
      <c r="P207" s="32"/>
    </row>
    <row r="208" spans="1:16">
      <c r="A208" s="57">
        <v>337</v>
      </c>
      <c r="B208" s="37">
        <v>44390</v>
      </c>
      <c r="C208" s="28">
        <v>44404</v>
      </c>
      <c r="D208" s="29" t="s">
        <v>1988</v>
      </c>
      <c r="E208" s="33">
        <v>21994430069</v>
      </c>
      <c r="F208" s="31" t="s">
        <v>10</v>
      </c>
      <c r="G208" s="31" t="s">
        <v>1980</v>
      </c>
      <c r="H208" s="77" t="s">
        <v>2217</v>
      </c>
      <c r="I208" s="31">
        <f>VLOOKUP(H208,PACOTES!B:E,4,FALSE)</f>
        <v>9</v>
      </c>
      <c r="J208" s="77" t="s">
        <v>419</v>
      </c>
      <c r="K208" s="32">
        <v>3360</v>
      </c>
      <c r="L208" s="32">
        <v>3360</v>
      </c>
      <c r="M208" s="108">
        <v>0</v>
      </c>
      <c r="N208" s="32"/>
      <c r="O208" s="32"/>
      <c r="P208" s="32"/>
    </row>
    <row r="209" spans="1:16">
      <c r="A209" s="57">
        <v>53</v>
      </c>
      <c r="B209" s="37">
        <v>44393</v>
      </c>
      <c r="C209" s="28">
        <v>44393</v>
      </c>
      <c r="D209" s="29" t="s">
        <v>1400</v>
      </c>
      <c r="E209" s="33">
        <v>21965023838</v>
      </c>
      <c r="F209" s="31" t="s">
        <v>10</v>
      </c>
      <c r="G209" s="31" t="s">
        <v>1403</v>
      </c>
      <c r="H209" s="77" t="s">
        <v>2221</v>
      </c>
      <c r="I209" s="31">
        <f>VLOOKUP(H209,PACOTES!B:E,4,FALSE)</f>
        <v>5</v>
      </c>
      <c r="J209" s="77" t="s">
        <v>419</v>
      </c>
      <c r="K209" s="32">
        <v>3050</v>
      </c>
      <c r="L209" s="32">
        <v>3050</v>
      </c>
      <c r="M209" s="108">
        <v>0</v>
      </c>
      <c r="N209" s="32"/>
      <c r="O209" s="32"/>
      <c r="P209" s="32"/>
    </row>
    <row r="210" spans="1:16">
      <c r="A210" s="57">
        <v>410</v>
      </c>
      <c r="B210" s="37">
        <v>44396</v>
      </c>
      <c r="C210" s="28">
        <v>44396</v>
      </c>
      <c r="D210" s="29" t="s">
        <v>2084</v>
      </c>
      <c r="E210" s="33">
        <v>22981582008</v>
      </c>
      <c r="F210" s="31" t="s">
        <v>10</v>
      </c>
      <c r="G210" s="31" t="s">
        <v>1980</v>
      </c>
      <c r="H210" s="77" t="s">
        <v>2217</v>
      </c>
      <c r="I210" s="31">
        <f>VLOOKUP(H210,PACOTES!B:E,4,FALSE)</f>
        <v>9</v>
      </c>
      <c r="J210" s="77" t="s">
        <v>419</v>
      </c>
      <c r="K210" s="32">
        <v>3200</v>
      </c>
      <c r="L210" s="32">
        <v>3200</v>
      </c>
      <c r="M210" s="108">
        <v>0</v>
      </c>
      <c r="N210" s="32"/>
      <c r="O210" s="32"/>
      <c r="P210" s="32"/>
    </row>
    <row r="211" spans="1:16">
      <c r="A211" s="57">
        <v>53</v>
      </c>
      <c r="B211" s="37">
        <v>44397</v>
      </c>
      <c r="C211" s="28">
        <v>44406</v>
      </c>
      <c r="D211" s="29" t="s">
        <v>1400</v>
      </c>
      <c r="E211" s="33">
        <v>21965023838</v>
      </c>
      <c r="F211" s="31" t="s">
        <v>10</v>
      </c>
      <c r="G211" s="31" t="s">
        <v>1404</v>
      </c>
      <c r="H211" s="77" t="s">
        <v>2221</v>
      </c>
      <c r="I211" s="31">
        <f>VLOOKUP(H211,PACOTES!B:E,4,FALSE)</f>
        <v>5</v>
      </c>
      <c r="J211" s="77" t="s">
        <v>419</v>
      </c>
      <c r="K211" s="32">
        <v>3050</v>
      </c>
      <c r="L211" s="32">
        <v>3050</v>
      </c>
      <c r="M211" s="108">
        <v>0</v>
      </c>
      <c r="N211" s="32"/>
      <c r="O211" s="32"/>
      <c r="P211" s="32"/>
    </row>
    <row r="212" spans="1:16">
      <c r="A212" s="57">
        <v>159</v>
      </c>
      <c r="B212" s="37">
        <v>44397</v>
      </c>
      <c r="C212" s="28">
        <v>44398</v>
      </c>
      <c r="D212" s="29" t="s">
        <v>1686</v>
      </c>
      <c r="E212" s="33">
        <v>21975327830</v>
      </c>
      <c r="F212" s="31" t="s">
        <v>11</v>
      </c>
      <c r="G212" s="31" t="s">
        <v>1283</v>
      </c>
      <c r="H212" s="77" t="s">
        <v>2218</v>
      </c>
      <c r="I212" s="31">
        <f>VLOOKUP(H212,PACOTES!B:E,4,FALSE)</f>
        <v>8</v>
      </c>
      <c r="J212" s="77" t="s">
        <v>419</v>
      </c>
      <c r="K212" s="32">
        <v>2100</v>
      </c>
      <c r="L212" s="32">
        <v>2100</v>
      </c>
      <c r="M212" s="108">
        <v>0</v>
      </c>
      <c r="N212" s="32"/>
      <c r="O212" s="32"/>
      <c r="P212" s="32"/>
    </row>
    <row r="213" spans="1:16">
      <c r="A213" s="57">
        <v>165</v>
      </c>
      <c r="B213" s="37">
        <v>44397</v>
      </c>
      <c r="C213" s="28">
        <v>44400</v>
      </c>
      <c r="D213" s="29" t="s">
        <v>1693</v>
      </c>
      <c r="E213" s="33">
        <v>21976314375</v>
      </c>
      <c r="F213" s="31" t="s">
        <v>11</v>
      </c>
      <c r="G213" s="31" t="s">
        <v>1694</v>
      </c>
      <c r="H213" s="77" t="s">
        <v>2219</v>
      </c>
      <c r="I213" s="31">
        <f>VLOOKUP(H213,PACOTES!B:E,4,FALSE)</f>
        <v>7</v>
      </c>
      <c r="J213" s="77" t="s">
        <v>419</v>
      </c>
      <c r="K213" s="32">
        <v>2200</v>
      </c>
      <c r="L213" s="32">
        <v>2200</v>
      </c>
      <c r="M213" s="108">
        <v>0</v>
      </c>
      <c r="N213" s="32"/>
      <c r="O213" s="32"/>
      <c r="P213" s="32"/>
    </row>
    <row r="214" spans="1:16">
      <c r="A214" s="57">
        <v>241</v>
      </c>
      <c r="B214" s="37">
        <v>44397</v>
      </c>
      <c r="C214" s="37">
        <v>44400</v>
      </c>
      <c r="D214" s="29" t="s">
        <v>1823</v>
      </c>
      <c r="E214" s="33">
        <v>21983333822</v>
      </c>
      <c r="F214" s="77" t="s">
        <v>10</v>
      </c>
      <c r="G214" s="31" t="s">
        <v>1264</v>
      </c>
      <c r="H214" s="77" t="s">
        <v>2217</v>
      </c>
      <c r="I214" s="31">
        <f>VLOOKUP(H214,PACOTES!B:E,4,FALSE)</f>
        <v>9</v>
      </c>
      <c r="J214" s="77" t="s">
        <v>419</v>
      </c>
      <c r="K214" s="32">
        <v>3360</v>
      </c>
      <c r="L214" s="32">
        <v>3360</v>
      </c>
      <c r="M214" s="108">
        <v>0</v>
      </c>
      <c r="N214" s="32"/>
      <c r="O214" s="32"/>
      <c r="P214" s="32"/>
    </row>
    <row r="215" spans="1:16">
      <c r="A215" s="57">
        <v>339</v>
      </c>
      <c r="B215" s="37">
        <v>44397</v>
      </c>
      <c r="C215" s="28">
        <v>44414</v>
      </c>
      <c r="D215" s="29" t="s">
        <v>1317</v>
      </c>
      <c r="E215" s="33">
        <v>21994666293</v>
      </c>
      <c r="F215" s="31" t="s">
        <v>10</v>
      </c>
      <c r="G215" s="31" t="s">
        <v>1991</v>
      </c>
      <c r="H215" s="77" t="s">
        <v>2217</v>
      </c>
      <c r="I215" s="31">
        <f>VLOOKUP(H215,PACOTES!B:E,4,FALSE)</f>
        <v>9</v>
      </c>
      <c r="J215" s="77" t="s">
        <v>134</v>
      </c>
      <c r="K215" s="32">
        <v>3700</v>
      </c>
      <c r="L215" s="32">
        <v>3700</v>
      </c>
      <c r="M215" s="108">
        <v>0</v>
      </c>
      <c r="N215" s="32"/>
      <c r="O215" s="32"/>
      <c r="P215" s="32"/>
    </row>
    <row r="216" spans="1:16">
      <c r="A216" s="57">
        <v>53</v>
      </c>
      <c r="B216" s="37">
        <v>44398</v>
      </c>
      <c r="C216" s="28">
        <v>44407</v>
      </c>
      <c r="D216" s="29" t="s">
        <v>1400</v>
      </c>
      <c r="E216" s="33">
        <v>21965023838</v>
      </c>
      <c r="F216" s="31" t="s">
        <v>10</v>
      </c>
      <c r="G216" s="31" t="s">
        <v>1264</v>
      </c>
      <c r="H216" s="77" t="s">
        <v>2221</v>
      </c>
      <c r="I216" s="31">
        <f>VLOOKUP(H216,PACOTES!B:E,4,FALSE)</f>
        <v>5</v>
      </c>
      <c r="J216" s="77" t="s">
        <v>419</v>
      </c>
      <c r="K216" s="32">
        <v>3050</v>
      </c>
      <c r="L216" s="32">
        <v>3050</v>
      </c>
      <c r="M216" s="108">
        <v>0</v>
      </c>
      <c r="N216" s="32"/>
      <c r="O216" s="32"/>
      <c r="P216" s="32"/>
    </row>
    <row r="217" spans="1:16">
      <c r="A217" s="57">
        <v>53</v>
      </c>
      <c r="B217" s="37">
        <v>44403</v>
      </c>
      <c r="C217" s="28">
        <v>44421</v>
      </c>
      <c r="D217" s="29" t="s">
        <v>1400</v>
      </c>
      <c r="E217" s="33">
        <v>21965023838</v>
      </c>
      <c r="F217" s="31" t="s">
        <v>10</v>
      </c>
      <c r="G217" s="31" t="s">
        <v>1264</v>
      </c>
      <c r="H217" s="77" t="s">
        <v>2221</v>
      </c>
      <c r="I217" s="31">
        <f>VLOOKUP(H217,PACOTES!B:E,4,FALSE)</f>
        <v>5</v>
      </c>
      <c r="J217" s="77" t="s">
        <v>419</v>
      </c>
      <c r="K217" s="32">
        <v>3050</v>
      </c>
      <c r="L217" s="32">
        <v>3050</v>
      </c>
      <c r="M217" s="108">
        <v>0</v>
      </c>
      <c r="N217" s="32"/>
      <c r="O217" s="32"/>
      <c r="P217" s="32"/>
    </row>
    <row r="218" spans="1:16">
      <c r="A218" s="57">
        <v>53</v>
      </c>
      <c r="B218" s="37">
        <v>44403</v>
      </c>
      <c r="C218" s="28">
        <v>44428</v>
      </c>
      <c r="D218" s="29" t="s">
        <v>1400</v>
      </c>
      <c r="E218" s="33">
        <v>21965023838</v>
      </c>
      <c r="F218" s="31" t="s">
        <v>10</v>
      </c>
      <c r="G218" s="31" t="s">
        <v>1264</v>
      </c>
      <c r="H218" s="77" t="s">
        <v>2221</v>
      </c>
      <c r="I218" s="31">
        <f>VLOOKUP(H218,PACOTES!B:E,4,FALSE)</f>
        <v>5</v>
      </c>
      <c r="J218" s="77" t="s">
        <v>419</v>
      </c>
      <c r="K218" s="32">
        <v>3050</v>
      </c>
      <c r="L218" s="32">
        <v>3050</v>
      </c>
      <c r="M218" s="108">
        <v>0</v>
      </c>
      <c r="N218" s="32"/>
      <c r="O218" s="32"/>
      <c r="P218" s="32"/>
    </row>
    <row r="219" spans="1:16">
      <c r="A219" s="57">
        <v>53</v>
      </c>
      <c r="B219" s="37">
        <v>44403</v>
      </c>
      <c r="C219" s="28">
        <v>44435</v>
      </c>
      <c r="D219" s="29" t="s">
        <v>1400</v>
      </c>
      <c r="E219" s="33">
        <v>21965023838</v>
      </c>
      <c r="F219" s="31" t="s">
        <v>10</v>
      </c>
      <c r="G219" s="31" t="s">
        <v>1264</v>
      </c>
      <c r="H219" s="77" t="s">
        <v>2221</v>
      </c>
      <c r="I219" s="31">
        <f>VLOOKUP(H219,PACOTES!B:E,4,FALSE)</f>
        <v>5</v>
      </c>
      <c r="J219" s="77" t="s">
        <v>419</v>
      </c>
      <c r="K219" s="32">
        <v>3050</v>
      </c>
      <c r="L219" s="32">
        <v>3050</v>
      </c>
      <c r="M219" s="108">
        <v>0</v>
      </c>
      <c r="N219" s="32"/>
      <c r="O219" s="32"/>
      <c r="P219" s="32"/>
    </row>
    <row r="220" spans="1:16">
      <c r="A220" s="57" t="s">
        <v>13</v>
      </c>
      <c r="B220" s="37">
        <v>44403</v>
      </c>
      <c r="C220" s="28">
        <v>44403</v>
      </c>
      <c r="D220" s="29" t="s">
        <v>2151</v>
      </c>
      <c r="E220" s="30" t="s">
        <v>13</v>
      </c>
      <c r="F220" s="31" t="s">
        <v>11</v>
      </c>
      <c r="G220" s="31" t="s">
        <v>1426</v>
      </c>
      <c r="H220" s="77" t="s">
        <v>2217</v>
      </c>
      <c r="I220" s="31">
        <f>VLOOKUP(H220,PACOTES!B:E,4,FALSE)</f>
        <v>9</v>
      </c>
      <c r="J220" s="77" t="s">
        <v>419</v>
      </c>
      <c r="K220" s="32">
        <v>1847.99</v>
      </c>
      <c r="L220" s="32">
        <v>1847.99</v>
      </c>
      <c r="M220" s="108">
        <v>0</v>
      </c>
      <c r="N220" s="32"/>
      <c r="O220" s="32"/>
      <c r="P220" s="32"/>
    </row>
    <row r="221" spans="1:16">
      <c r="A221" s="57">
        <v>328</v>
      </c>
      <c r="B221" s="37">
        <v>44407</v>
      </c>
      <c r="C221" s="28">
        <v>44413</v>
      </c>
      <c r="D221" s="29" t="s">
        <v>1972</v>
      </c>
      <c r="E221" s="33">
        <v>21993032403</v>
      </c>
      <c r="F221" s="31" t="s">
        <v>11</v>
      </c>
      <c r="G221" s="31" t="s">
        <v>1426</v>
      </c>
      <c r="H221" s="77" t="s">
        <v>2217</v>
      </c>
      <c r="I221" s="31">
        <f>VLOOKUP(H221,PACOTES!B:E,4,FALSE)</f>
        <v>9</v>
      </c>
      <c r="J221" s="77" t="s">
        <v>419</v>
      </c>
      <c r="K221" s="32">
        <v>1847.9915999999998</v>
      </c>
      <c r="L221" s="32">
        <v>1847.9915999999998</v>
      </c>
      <c r="M221" s="108">
        <v>0</v>
      </c>
      <c r="N221" s="32"/>
      <c r="O221" s="32"/>
      <c r="P221" s="32"/>
    </row>
    <row r="222" spans="1:16">
      <c r="A222" s="57">
        <v>411</v>
      </c>
      <c r="B222" s="37">
        <v>44409</v>
      </c>
      <c r="C222" s="28">
        <v>44413</v>
      </c>
      <c r="D222" s="29" t="s">
        <v>2085</v>
      </c>
      <c r="E222" s="33">
        <v>22988018232</v>
      </c>
      <c r="F222" s="31" t="s">
        <v>11</v>
      </c>
      <c r="G222" s="31" t="s">
        <v>1426</v>
      </c>
      <c r="H222" s="77" t="s">
        <v>2217</v>
      </c>
      <c r="I222" s="31">
        <f>VLOOKUP(H222,PACOTES!B:E,4,FALSE)</f>
        <v>9</v>
      </c>
      <c r="J222" s="77" t="s">
        <v>419</v>
      </c>
      <c r="K222" s="32">
        <v>1847.9915999999998</v>
      </c>
      <c r="L222" s="32">
        <v>1847.9915999999998</v>
      </c>
      <c r="M222" s="108">
        <v>0</v>
      </c>
      <c r="N222" s="32"/>
      <c r="O222" s="32"/>
      <c r="P222" s="32"/>
    </row>
    <row r="223" spans="1:16">
      <c r="A223" s="57">
        <v>508</v>
      </c>
      <c r="B223" s="37">
        <v>44412</v>
      </c>
      <c r="C223" s="28">
        <v>44413</v>
      </c>
      <c r="D223" s="29" t="s">
        <v>1432</v>
      </c>
      <c r="E223" s="33">
        <v>44998885901</v>
      </c>
      <c r="F223" s="31" t="s">
        <v>11</v>
      </c>
      <c r="G223" s="31" t="s">
        <v>1433</v>
      </c>
      <c r="H223" s="77" t="s">
        <v>2217</v>
      </c>
      <c r="I223" s="31">
        <f>VLOOKUP(H223,PACOTES!B:E,4,FALSE)</f>
        <v>9</v>
      </c>
      <c r="J223" s="77" t="s">
        <v>419</v>
      </c>
      <c r="K223" s="32">
        <v>1847.9915999999998</v>
      </c>
      <c r="L223" s="32">
        <v>1847.9915999999998</v>
      </c>
      <c r="M223" s="108">
        <v>0</v>
      </c>
      <c r="N223" s="32"/>
      <c r="O223" s="32"/>
      <c r="P223" s="32"/>
    </row>
    <row r="224" spans="1:16">
      <c r="A224" s="57">
        <v>185</v>
      </c>
      <c r="B224" s="37">
        <v>44412</v>
      </c>
      <c r="C224" s="28">
        <v>44415</v>
      </c>
      <c r="D224" s="29" t="s">
        <v>1727</v>
      </c>
      <c r="E224" s="33">
        <v>21980140420</v>
      </c>
      <c r="F224" s="31" t="s">
        <v>10</v>
      </c>
      <c r="G224" s="31" t="s">
        <v>1233</v>
      </c>
      <c r="H224" s="77" t="s">
        <v>2226</v>
      </c>
      <c r="I224" s="31">
        <f>VLOOKUP(H224,PACOTES!B:E,4,FALSE)</f>
        <v>0</v>
      </c>
      <c r="J224" s="77" t="s">
        <v>419</v>
      </c>
      <c r="K224" s="32">
        <v>3600</v>
      </c>
      <c r="L224" s="32">
        <v>3600</v>
      </c>
      <c r="M224" s="108">
        <v>0</v>
      </c>
      <c r="N224" s="104" t="s">
        <v>2245</v>
      </c>
      <c r="O224" s="104" t="s">
        <v>135</v>
      </c>
      <c r="P224" s="104" t="s">
        <v>135</v>
      </c>
    </row>
    <row r="225" spans="1:16">
      <c r="A225" s="57">
        <v>541</v>
      </c>
      <c r="B225" s="37">
        <v>44414</v>
      </c>
      <c r="C225" s="28">
        <v>44414</v>
      </c>
      <c r="D225" s="29" t="s">
        <v>1545</v>
      </c>
      <c r="E225" s="33">
        <v>69999823356</v>
      </c>
      <c r="F225" s="31" t="s">
        <v>11</v>
      </c>
      <c r="G225" s="31" t="s">
        <v>1546</v>
      </c>
      <c r="H225" s="77" t="s">
        <v>2217</v>
      </c>
      <c r="I225" s="31">
        <f>VLOOKUP(H225,PACOTES!B:E,4,FALSE)</f>
        <v>9</v>
      </c>
      <c r="J225" s="77" t="s">
        <v>419</v>
      </c>
      <c r="K225" s="32">
        <v>2000</v>
      </c>
      <c r="L225" s="32">
        <v>2000</v>
      </c>
      <c r="M225" s="108">
        <v>0</v>
      </c>
      <c r="N225" s="32"/>
      <c r="O225" s="32"/>
      <c r="P225" s="32"/>
    </row>
    <row r="226" spans="1:16">
      <c r="A226" s="57">
        <v>63</v>
      </c>
      <c r="B226" s="37">
        <v>44417</v>
      </c>
      <c r="C226" s="28">
        <v>44424</v>
      </c>
      <c r="D226" s="29" t="s">
        <v>1440</v>
      </c>
      <c r="E226" s="33">
        <v>21965897133</v>
      </c>
      <c r="F226" s="31" t="s">
        <v>10</v>
      </c>
      <c r="G226" s="31" t="s">
        <v>1264</v>
      </c>
      <c r="H226" s="77" t="s">
        <v>2217</v>
      </c>
      <c r="I226" s="31">
        <f>VLOOKUP(H226,PACOTES!B:E,4,FALSE)</f>
        <v>9</v>
      </c>
      <c r="J226" s="77" t="s">
        <v>134</v>
      </c>
      <c r="K226" s="32">
        <v>3600</v>
      </c>
      <c r="L226" s="32">
        <v>3600</v>
      </c>
      <c r="M226" s="108">
        <v>0</v>
      </c>
      <c r="N226" s="32"/>
      <c r="O226" s="32"/>
      <c r="P226" s="32"/>
    </row>
    <row r="227" spans="1:16">
      <c r="A227" s="57">
        <v>38</v>
      </c>
      <c r="B227" s="37">
        <v>44424</v>
      </c>
      <c r="C227" s="28">
        <v>44425</v>
      </c>
      <c r="D227" s="29" t="s">
        <v>1331</v>
      </c>
      <c r="E227" s="33">
        <v>21964630765</v>
      </c>
      <c r="F227" s="31" t="s">
        <v>11</v>
      </c>
      <c r="G227" s="31" t="s">
        <v>1332</v>
      </c>
      <c r="H227" s="77" t="s">
        <v>2217</v>
      </c>
      <c r="I227" s="31">
        <f>VLOOKUP(H227,PACOTES!B:E,4,FALSE)</f>
        <v>9</v>
      </c>
      <c r="J227" s="77" t="s">
        <v>419</v>
      </c>
      <c r="K227" s="32">
        <v>1847.99</v>
      </c>
      <c r="L227" s="32">
        <v>1847.99</v>
      </c>
      <c r="M227" s="108">
        <v>0</v>
      </c>
      <c r="N227" s="32"/>
      <c r="O227" s="32"/>
      <c r="P227" s="32"/>
    </row>
    <row r="228" spans="1:16">
      <c r="A228" s="57">
        <v>462</v>
      </c>
      <c r="B228" s="37">
        <v>44425</v>
      </c>
      <c r="C228" s="28">
        <v>44426</v>
      </c>
      <c r="D228" s="29" t="s">
        <v>1232</v>
      </c>
      <c r="E228" s="33">
        <v>11981264434</v>
      </c>
      <c r="F228" s="31" t="s">
        <v>11</v>
      </c>
      <c r="G228" s="31" t="s">
        <v>1233</v>
      </c>
      <c r="H228" s="77" t="s">
        <v>2217</v>
      </c>
      <c r="I228" s="31">
        <f>VLOOKUP(H228,PACOTES!B:E,4,FALSE)</f>
        <v>9</v>
      </c>
      <c r="J228" s="77" t="s">
        <v>419</v>
      </c>
      <c r="K228" s="32">
        <v>2267.9899999999998</v>
      </c>
      <c r="L228" s="32">
        <v>2267.9899999999998</v>
      </c>
      <c r="M228" s="108">
        <v>0</v>
      </c>
      <c r="N228" s="32"/>
      <c r="O228" s="32"/>
      <c r="P228" s="32"/>
    </row>
    <row r="229" spans="1:16">
      <c r="A229" s="57">
        <v>421</v>
      </c>
      <c r="B229" s="37">
        <v>44426</v>
      </c>
      <c r="C229" s="28">
        <v>44427</v>
      </c>
      <c r="D229" s="29" t="s">
        <v>2096</v>
      </c>
      <c r="E229" s="33">
        <v>22997996612</v>
      </c>
      <c r="F229" s="31" t="s">
        <v>11</v>
      </c>
      <c r="G229" s="31" t="s">
        <v>1426</v>
      </c>
      <c r="H229" s="77" t="s">
        <v>2217</v>
      </c>
      <c r="I229" s="31">
        <f>VLOOKUP(H229,PACOTES!B:E,4,FALSE)</f>
        <v>9</v>
      </c>
      <c r="J229" s="77" t="s">
        <v>419</v>
      </c>
      <c r="K229" s="32">
        <v>1663.19</v>
      </c>
      <c r="L229" s="32">
        <v>1663.19</v>
      </c>
      <c r="M229" s="108">
        <v>0</v>
      </c>
      <c r="N229" s="32"/>
      <c r="O229" s="32"/>
      <c r="P229" s="32"/>
    </row>
    <row r="230" spans="1:16">
      <c r="A230" s="57" t="s">
        <v>13</v>
      </c>
      <c r="B230" s="37">
        <v>44430</v>
      </c>
      <c r="C230" s="28">
        <v>44431</v>
      </c>
      <c r="D230" s="29" t="s">
        <v>1383</v>
      </c>
      <c r="E230" s="30" t="s">
        <v>13</v>
      </c>
      <c r="F230" s="31" t="s">
        <v>11</v>
      </c>
      <c r="G230" s="31" t="s">
        <v>1426</v>
      </c>
      <c r="H230" s="77" t="s">
        <v>2217</v>
      </c>
      <c r="I230" s="31">
        <f>VLOOKUP(H230,PACOTES!B:E,4,FALSE)</f>
        <v>9</v>
      </c>
      <c r="J230" s="77" t="s">
        <v>419</v>
      </c>
      <c r="K230" s="32">
        <v>1847.99</v>
      </c>
      <c r="L230" s="32">
        <v>1847.99</v>
      </c>
      <c r="M230" s="108">
        <v>0</v>
      </c>
      <c r="N230" s="32"/>
      <c r="O230" s="32"/>
      <c r="P230" s="32"/>
    </row>
    <row r="231" spans="1:16">
      <c r="A231" s="57">
        <v>44</v>
      </c>
      <c r="B231" s="37">
        <v>44436</v>
      </c>
      <c r="C231" s="28">
        <v>44438</v>
      </c>
      <c r="D231" s="29" t="s">
        <v>1362</v>
      </c>
      <c r="E231" s="33">
        <v>21964714885</v>
      </c>
      <c r="F231" s="31" t="s">
        <v>11</v>
      </c>
      <c r="G231" s="31" t="s">
        <v>1363</v>
      </c>
      <c r="H231" s="77" t="s">
        <v>2217</v>
      </c>
      <c r="I231" s="31">
        <f>VLOOKUP(H231,PACOTES!B:E,4,FALSE)</f>
        <v>9</v>
      </c>
      <c r="J231" s="77" t="s">
        <v>419</v>
      </c>
      <c r="K231" s="32">
        <v>0</v>
      </c>
      <c r="L231" s="32" t="s">
        <v>13</v>
      </c>
      <c r="M231" s="108">
        <v>0</v>
      </c>
      <c r="N231" s="32"/>
      <c r="O231" s="32"/>
      <c r="P231" s="32"/>
    </row>
    <row r="232" spans="1:16">
      <c r="A232" s="57">
        <v>405</v>
      </c>
      <c r="B232" s="37">
        <v>44438</v>
      </c>
      <c r="C232" s="28">
        <v>44452</v>
      </c>
      <c r="D232" s="29" t="s">
        <v>2075</v>
      </c>
      <c r="E232" s="35">
        <v>21999917353</v>
      </c>
      <c r="F232" s="31" t="s">
        <v>10</v>
      </c>
      <c r="G232" s="31" t="s">
        <v>2076</v>
      </c>
      <c r="H232" s="77" t="s">
        <v>2217</v>
      </c>
      <c r="I232" s="31">
        <f>VLOOKUP(H232,PACOTES!B:E,4,FALSE)</f>
        <v>9</v>
      </c>
      <c r="J232" s="77" t="s">
        <v>419</v>
      </c>
      <c r="K232" s="32">
        <v>0</v>
      </c>
      <c r="L232" s="32" t="s">
        <v>13</v>
      </c>
      <c r="M232" s="108">
        <v>0</v>
      </c>
      <c r="N232" s="32"/>
      <c r="O232" s="32"/>
      <c r="P232" s="32"/>
    </row>
    <row r="233" spans="1:16">
      <c r="A233" s="57">
        <v>53</v>
      </c>
      <c r="B233" s="37">
        <v>44439</v>
      </c>
      <c r="C233" s="28">
        <v>44197</v>
      </c>
      <c r="D233" s="29" t="s">
        <v>1400</v>
      </c>
      <c r="E233" s="33">
        <v>21965023838</v>
      </c>
      <c r="F233" s="31" t="s">
        <v>11</v>
      </c>
      <c r="G233" s="31" t="s">
        <v>1405</v>
      </c>
      <c r="H233" s="77" t="s">
        <v>2221</v>
      </c>
      <c r="I233" s="31">
        <f>VLOOKUP(H233,PACOTES!B:E,4,FALSE)</f>
        <v>5</v>
      </c>
      <c r="J233" s="77" t="s">
        <v>419</v>
      </c>
      <c r="K233" s="32">
        <v>0</v>
      </c>
      <c r="L233" s="32" t="s">
        <v>13</v>
      </c>
      <c r="M233" s="108">
        <v>0</v>
      </c>
      <c r="N233" s="32"/>
      <c r="O233" s="32"/>
      <c r="P233" s="32"/>
    </row>
    <row r="234" spans="1:16">
      <c r="A234" s="57" t="s">
        <v>13</v>
      </c>
      <c r="B234" s="37">
        <v>44439</v>
      </c>
      <c r="C234" s="28">
        <v>44440</v>
      </c>
      <c r="D234" s="29" t="s">
        <v>2152</v>
      </c>
      <c r="E234" s="35" t="s">
        <v>13</v>
      </c>
      <c r="F234" s="31" t="s">
        <v>11</v>
      </c>
      <c r="G234" s="31" t="s">
        <v>2153</v>
      </c>
      <c r="H234" s="77" t="s">
        <v>2217</v>
      </c>
      <c r="I234" s="31">
        <f>VLOOKUP(H234,PACOTES!B:E,4,FALSE)</f>
        <v>9</v>
      </c>
      <c r="J234" s="77" t="s">
        <v>419</v>
      </c>
      <c r="K234" s="32">
        <v>1847.99</v>
      </c>
      <c r="L234" s="32">
        <v>1847.99</v>
      </c>
      <c r="M234" s="108">
        <v>0</v>
      </c>
      <c r="N234" s="32"/>
      <c r="O234" s="32"/>
      <c r="P234" s="32"/>
    </row>
    <row r="235" spans="1:16">
      <c r="A235" s="57" t="s">
        <v>13</v>
      </c>
      <c r="B235" s="37">
        <v>44439</v>
      </c>
      <c r="C235" s="28">
        <v>44440</v>
      </c>
      <c r="D235" s="29" t="s">
        <v>2154</v>
      </c>
      <c r="E235" s="35" t="s">
        <v>13</v>
      </c>
      <c r="F235" s="31" t="s">
        <v>11</v>
      </c>
      <c r="G235" s="31" t="s">
        <v>2155</v>
      </c>
      <c r="H235" s="77" t="s">
        <v>2217</v>
      </c>
      <c r="I235" s="31">
        <f>VLOOKUP(H235,PACOTES!B:E,4,FALSE)</f>
        <v>9</v>
      </c>
      <c r="J235" s="77" t="s">
        <v>419</v>
      </c>
      <c r="K235" s="32">
        <v>1847.99</v>
      </c>
      <c r="L235" s="32">
        <v>1847.99</v>
      </c>
      <c r="M235" s="108">
        <v>0</v>
      </c>
      <c r="N235" s="32"/>
      <c r="O235" s="32"/>
      <c r="P235" s="32"/>
    </row>
    <row r="236" spans="1:16">
      <c r="A236" s="57">
        <v>506</v>
      </c>
      <c r="B236" s="37">
        <v>44444</v>
      </c>
      <c r="C236" s="28">
        <v>44447</v>
      </c>
      <c r="D236" s="29" t="s">
        <v>1221</v>
      </c>
      <c r="E236" s="35">
        <v>41996903666</v>
      </c>
      <c r="F236" s="31" t="s">
        <v>11</v>
      </c>
      <c r="G236" s="31" t="s">
        <v>1426</v>
      </c>
      <c r="H236" s="77" t="s">
        <v>2217</v>
      </c>
      <c r="I236" s="31">
        <f>VLOOKUP(H236,PACOTES!B:E,4,FALSE)</f>
        <v>9</v>
      </c>
      <c r="J236" s="77" t="s">
        <v>419</v>
      </c>
      <c r="K236" s="32">
        <v>2199.9899999999998</v>
      </c>
      <c r="L236" s="32">
        <v>2199.9899999999998</v>
      </c>
      <c r="M236" s="108">
        <v>0</v>
      </c>
      <c r="N236" s="32"/>
      <c r="O236" s="32"/>
      <c r="P236" s="32"/>
    </row>
    <row r="237" spans="1:16">
      <c r="A237" s="57" t="s">
        <v>13</v>
      </c>
      <c r="B237" s="37">
        <v>44447</v>
      </c>
      <c r="C237" s="28">
        <v>44448</v>
      </c>
      <c r="D237" s="29" t="s">
        <v>2156</v>
      </c>
      <c r="E237" s="35" t="s">
        <v>13</v>
      </c>
      <c r="F237" s="31" t="s">
        <v>11</v>
      </c>
      <c r="G237" s="31" t="s">
        <v>1426</v>
      </c>
      <c r="H237" s="77" t="s">
        <v>2217</v>
      </c>
      <c r="I237" s="31">
        <f>VLOOKUP(H237,PACOTES!B:E,4,FALSE)</f>
        <v>9</v>
      </c>
      <c r="J237" s="77" t="s">
        <v>419</v>
      </c>
      <c r="K237" s="32">
        <v>1847.99</v>
      </c>
      <c r="L237" s="32">
        <v>1847.99</v>
      </c>
      <c r="M237" s="108">
        <v>0</v>
      </c>
      <c r="N237" s="32"/>
      <c r="O237" s="32"/>
      <c r="P237" s="32"/>
    </row>
    <row r="238" spans="1:16">
      <c r="A238" s="57">
        <v>518</v>
      </c>
      <c r="B238" s="37">
        <v>44453</v>
      </c>
      <c r="C238" s="28">
        <v>44454</v>
      </c>
      <c r="D238" s="29" t="s">
        <v>1466</v>
      </c>
      <c r="E238" s="35">
        <v>51998069736</v>
      </c>
      <c r="F238" s="31" t="s">
        <v>11</v>
      </c>
      <c r="G238" s="31" t="s">
        <v>1467</v>
      </c>
      <c r="H238" s="77" t="s">
        <v>2221</v>
      </c>
      <c r="I238" s="31">
        <f>VLOOKUP(H238,PACOTES!B:E,4,FALSE)</f>
        <v>5</v>
      </c>
      <c r="J238" s="77" t="s">
        <v>419</v>
      </c>
      <c r="K238" s="32">
        <v>1847.99</v>
      </c>
      <c r="L238" s="32">
        <v>1847.99</v>
      </c>
      <c r="M238" s="108">
        <v>0</v>
      </c>
      <c r="N238" s="32"/>
      <c r="O238" s="32"/>
      <c r="P238" s="32"/>
    </row>
    <row r="239" spans="1:16">
      <c r="A239" s="57">
        <v>295</v>
      </c>
      <c r="B239" s="37">
        <v>44456</v>
      </c>
      <c r="C239" s="28">
        <v>44457</v>
      </c>
      <c r="D239" s="29" t="s">
        <v>1921</v>
      </c>
      <c r="E239" s="35">
        <v>21988883758</v>
      </c>
      <c r="F239" s="31" t="s">
        <v>11</v>
      </c>
      <c r="G239" s="31" t="s">
        <v>1922</v>
      </c>
      <c r="H239" s="77" t="s">
        <v>2217</v>
      </c>
      <c r="I239" s="31">
        <f>VLOOKUP(H239,PACOTES!B:E,4,FALSE)</f>
        <v>9</v>
      </c>
      <c r="J239" s="77" t="s">
        <v>419</v>
      </c>
      <c r="K239" s="32">
        <v>2200</v>
      </c>
      <c r="L239" s="32">
        <v>2200</v>
      </c>
      <c r="M239" s="108">
        <v>0</v>
      </c>
      <c r="N239" s="32"/>
      <c r="O239" s="32"/>
      <c r="P239" s="32"/>
    </row>
    <row r="240" spans="1:16">
      <c r="A240" s="57">
        <v>65</v>
      </c>
      <c r="B240" s="37">
        <v>44460</v>
      </c>
      <c r="C240" s="28">
        <v>44461</v>
      </c>
      <c r="D240" s="29" t="s">
        <v>1223</v>
      </c>
      <c r="E240" s="30">
        <v>21965960300</v>
      </c>
      <c r="F240" s="31" t="s">
        <v>10</v>
      </c>
      <c r="G240" s="31" t="s">
        <v>1448</v>
      </c>
      <c r="H240" s="77" t="s">
        <v>2221</v>
      </c>
      <c r="I240" s="31">
        <f>VLOOKUP(H240,PACOTES!B:E,4,FALSE)</f>
        <v>5</v>
      </c>
      <c r="J240" s="77" t="s">
        <v>419</v>
      </c>
      <c r="K240" s="32">
        <v>2100</v>
      </c>
      <c r="L240" s="32">
        <v>2100</v>
      </c>
      <c r="M240" s="108">
        <v>0</v>
      </c>
      <c r="N240" s="32"/>
      <c r="O240" s="32"/>
      <c r="P240" s="32"/>
    </row>
    <row r="241" spans="1:16">
      <c r="A241" s="57">
        <v>290</v>
      </c>
      <c r="B241" s="37">
        <v>44470</v>
      </c>
      <c r="C241" s="28">
        <v>44471</v>
      </c>
      <c r="D241" s="29" t="s">
        <v>1914</v>
      </c>
      <c r="E241" s="35">
        <v>21988588161</v>
      </c>
      <c r="F241" s="31" t="s">
        <v>10</v>
      </c>
      <c r="G241" s="31" t="s">
        <v>1915</v>
      </c>
      <c r="H241" s="77" t="s">
        <v>2217</v>
      </c>
      <c r="I241" s="31">
        <f>VLOOKUP(H241,PACOTES!B:E,4,FALSE)</f>
        <v>9</v>
      </c>
      <c r="J241" s="77" t="s">
        <v>419</v>
      </c>
      <c r="K241" s="32">
        <v>3456</v>
      </c>
      <c r="L241" s="32">
        <v>3456</v>
      </c>
      <c r="M241" s="108">
        <v>0</v>
      </c>
      <c r="N241" s="32"/>
      <c r="O241" s="32"/>
      <c r="P241" s="32"/>
    </row>
    <row r="242" spans="1:16">
      <c r="A242" s="57">
        <v>142</v>
      </c>
      <c r="B242" s="37">
        <v>44474</v>
      </c>
      <c r="C242" s="28">
        <v>44476</v>
      </c>
      <c r="D242" s="29" t="s">
        <v>1660</v>
      </c>
      <c r="E242" s="35">
        <v>21973863670</v>
      </c>
      <c r="F242" s="31" t="s">
        <v>11</v>
      </c>
      <c r="G242" s="31" t="s">
        <v>1661</v>
      </c>
      <c r="H242" s="77" t="s">
        <v>2218</v>
      </c>
      <c r="I242" s="31">
        <f>VLOOKUP(H242,PACOTES!B:E,4,FALSE)</f>
        <v>8</v>
      </c>
      <c r="J242" s="77" t="s">
        <v>419</v>
      </c>
      <c r="K242" s="32">
        <v>2160</v>
      </c>
      <c r="L242" s="32">
        <v>2160</v>
      </c>
      <c r="M242" s="108">
        <v>0</v>
      </c>
      <c r="N242" s="32"/>
      <c r="O242" s="32"/>
      <c r="P242" s="32"/>
    </row>
    <row r="243" spans="1:16">
      <c r="A243" s="57">
        <v>382</v>
      </c>
      <c r="B243" s="37">
        <v>44478</v>
      </c>
      <c r="C243" s="28">
        <v>44478</v>
      </c>
      <c r="D243" s="29" t="s">
        <v>2051</v>
      </c>
      <c r="E243" s="31">
        <v>21997715378</v>
      </c>
      <c r="F243" s="31" t="s">
        <v>10</v>
      </c>
      <c r="G243" s="31" t="s">
        <v>2052</v>
      </c>
      <c r="H243" s="77" t="s">
        <v>2218</v>
      </c>
      <c r="I243" s="31">
        <f>VLOOKUP(H243,PACOTES!B:E,4,FALSE)</f>
        <v>8</v>
      </c>
      <c r="J243" s="77" t="s">
        <v>134</v>
      </c>
      <c r="K243" s="32">
        <v>3700</v>
      </c>
      <c r="L243" s="32">
        <v>3700</v>
      </c>
      <c r="M243" s="108">
        <v>0</v>
      </c>
      <c r="N243" s="32"/>
      <c r="O243" s="32"/>
      <c r="P243" s="32"/>
    </row>
    <row r="244" spans="1:16">
      <c r="A244" s="57">
        <v>555</v>
      </c>
      <c r="B244" s="37">
        <v>44482</v>
      </c>
      <c r="C244" s="28">
        <v>44483</v>
      </c>
      <c r="D244" s="31" t="s">
        <v>1592</v>
      </c>
      <c r="E244" s="31">
        <v>98981146123</v>
      </c>
      <c r="F244" s="31" t="s">
        <v>11</v>
      </c>
      <c r="G244" s="36">
        <v>25000</v>
      </c>
      <c r="H244" s="77" t="s">
        <v>2220</v>
      </c>
      <c r="I244" s="31">
        <f>VLOOKUP(H244,PACOTES!B:E,4,FALSE)</f>
        <v>6</v>
      </c>
      <c r="J244" s="77" t="s">
        <v>419</v>
      </c>
      <c r="K244" s="32">
        <v>2267.9899999999998</v>
      </c>
      <c r="L244" s="32">
        <v>2267.9899999999998</v>
      </c>
      <c r="M244" s="108">
        <v>0</v>
      </c>
      <c r="N244" s="32"/>
      <c r="O244" s="32"/>
      <c r="P244" s="32"/>
    </row>
    <row r="245" spans="1:16">
      <c r="A245" s="57">
        <v>59</v>
      </c>
      <c r="B245" s="37">
        <v>44493</v>
      </c>
      <c r="C245" s="28">
        <v>44494</v>
      </c>
      <c r="D245" s="29" t="s">
        <v>1431</v>
      </c>
      <c r="E245" s="35">
        <v>21965438502</v>
      </c>
      <c r="F245" s="31" t="s">
        <v>11</v>
      </c>
      <c r="G245" s="31" t="s">
        <v>1268</v>
      </c>
      <c r="H245" s="77" t="s">
        <v>2218</v>
      </c>
      <c r="I245" s="31">
        <f>VLOOKUP(H245,PACOTES!B:E,4,FALSE)</f>
        <v>8</v>
      </c>
      <c r="J245" s="77" t="s">
        <v>419</v>
      </c>
      <c r="K245" s="32">
        <v>2350</v>
      </c>
      <c r="L245" s="32">
        <v>2350</v>
      </c>
      <c r="M245" s="108">
        <v>0</v>
      </c>
      <c r="N245" s="32"/>
      <c r="O245" s="32"/>
      <c r="P245" s="32"/>
    </row>
    <row r="246" spans="1:16">
      <c r="A246" s="57" t="s">
        <v>13</v>
      </c>
      <c r="B246" s="37">
        <v>44496</v>
      </c>
      <c r="C246" s="28">
        <v>44497</v>
      </c>
      <c r="D246" s="31" t="s">
        <v>2157</v>
      </c>
      <c r="E246" s="31" t="s">
        <v>13</v>
      </c>
      <c r="F246" s="31" t="s">
        <v>11</v>
      </c>
      <c r="G246" s="31" t="s">
        <v>1922</v>
      </c>
      <c r="H246" s="77" t="s">
        <v>2218</v>
      </c>
      <c r="I246" s="31">
        <f>VLOOKUP(H246,PACOTES!B:E,4,FALSE)</f>
        <v>8</v>
      </c>
      <c r="J246" s="77" t="s">
        <v>419</v>
      </c>
      <c r="K246" s="32">
        <v>1847.99</v>
      </c>
      <c r="L246" s="32">
        <v>1847.99</v>
      </c>
      <c r="M246" s="108">
        <v>0</v>
      </c>
      <c r="N246" s="32"/>
      <c r="O246" s="32"/>
      <c r="P246" s="32"/>
    </row>
    <row r="247" spans="1:16">
      <c r="A247" s="57" t="s">
        <v>13</v>
      </c>
      <c r="B247" s="37">
        <v>44499</v>
      </c>
      <c r="C247" s="28">
        <v>44503</v>
      </c>
      <c r="D247" s="31" t="s">
        <v>2158</v>
      </c>
      <c r="E247" s="35" t="s">
        <v>13</v>
      </c>
      <c r="F247" s="31" t="s">
        <v>11</v>
      </c>
      <c r="G247" s="31" t="s">
        <v>2159</v>
      </c>
      <c r="H247" s="77" t="s">
        <v>2218</v>
      </c>
      <c r="I247" s="31">
        <f>VLOOKUP(H247,PACOTES!B:E,4,FALSE)</f>
        <v>8</v>
      </c>
      <c r="J247" s="77" t="s">
        <v>419</v>
      </c>
      <c r="K247" s="32">
        <v>1847.99</v>
      </c>
      <c r="L247" s="32">
        <v>1847.99</v>
      </c>
      <c r="M247" s="108">
        <v>0</v>
      </c>
      <c r="N247" s="32"/>
      <c r="O247" s="32"/>
      <c r="P247" s="32"/>
    </row>
    <row r="248" spans="1:16">
      <c r="A248" s="57">
        <v>309</v>
      </c>
      <c r="B248" s="37">
        <v>44501</v>
      </c>
      <c r="C248" s="28">
        <v>44501</v>
      </c>
      <c r="D248" s="31" t="s">
        <v>1943</v>
      </c>
      <c r="E248" s="35">
        <v>21991465107</v>
      </c>
      <c r="F248" s="31" t="s">
        <v>7</v>
      </c>
      <c r="G248" s="31" t="s">
        <v>1944</v>
      </c>
      <c r="H248" s="77" t="s">
        <v>2214</v>
      </c>
      <c r="I248" s="31"/>
      <c r="J248" s="77" t="s">
        <v>2214</v>
      </c>
      <c r="K248" s="32">
        <v>1300</v>
      </c>
      <c r="L248" s="32">
        <v>1300</v>
      </c>
      <c r="M248" s="108">
        <v>0</v>
      </c>
      <c r="N248" s="104" t="s">
        <v>2214</v>
      </c>
      <c r="O248" s="32"/>
      <c r="P248" s="32"/>
    </row>
    <row r="249" spans="1:16">
      <c r="A249" s="57">
        <v>309</v>
      </c>
      <c r="B249" s="37">
        <v>44501</v>
      </c>
      <c r="C249" s="28">
        <v>44501</v>
      </c>
      <c r="D249" s="31" t="s">
        <v>1943</v>
      </c>
      <c r="E249" s="35">
        <v>21991465107</v>
      </c>
      <c r="F249" s="31" t="s">
        <v>11</v>
      </c>
      <c r="G249" s="31" t="s">
        <v>1848</v>
      </c>
      <c r="H249" s="77" t="s">
        <v>2218</v>
      </c>
      <c r="I249" s="31">
        <f>VLOOKUP(H249,PACOTES!B:E,4,FALSE)</f>
        <v>8</v>
      </c>
      <c r="J249" s="77" t="s">
        <v>419</v>
      </c>
      <c r="K249" s="32">
        <v>2200</v>
      </c>
      <c r="L249" s="32">
        <v>2200</v>
      </c>
      <c r="M249" s="108">
        <v>0</v>
      </c>
      <c r="N249" s="32"/>
      <c r="O249" s="32"/>
      <c r="P249" s="32"/>
    </row>
    <row r="250" spans="1:16">
      <c r="A250" s="57">
        <v>53</v>
      </c>
      <c r="B250" s="37">
        <v>44503</v>
      </c>
      <c r="C250" s="28">
        <v>44505</v>
      </c>
      <c r="D250" s="31" t="s">
        <v>1400</v>
      </c>
      <c r="E250" s="33">
        <v>21965023838</v>
      </c>
      <c r="F250" s="31" t="s">
        <v>10</v>
      </c>
      <c r="G250" s="31" t="s">
        <v>1406</v>
      </c>
      <c r="H250" s="77" t="s">
        <v>2221</v>
      </c>
      <c r="I250" s="31">
        <f>VLOOKUP(H250,PACOTES!B:E,4,FALSE)</f>
        <v>5</v>
      </c>
      <c r="J250" s="77" t="s">
        <v>134</v>
      </c>
      <c r="K250" s="32">
        <v>3150</v>
      </c>
      <c r="L250" s="32">
        <v>3150</v>
      </c>
      <c r="M250" s="108">
        <v>0</v>
      </c>
      <c r="N250" s="32"/>
      <c r="O250" s="32"/>
      <c r="P250" s="32"/>
    </row>
    <row r="251" spans="1:16">
      <c r="A251" s="57">
        <v>53</v>
      </c>
      <c r="B251" s="37">
        <v>44503</v>
      </c>
      <c r="C251" s="28">
        <v>44505</v>
      </c>
      <c r="D251" s="31" t="s">
        <v>1400</v>
      </c>
      <c r="E251" s="33">
        <v>21965023838</v>
      </c>
      <c r="F251" s="31" t="s">
        <v>10</v>
      </c>
      <c r="G251" s="31" t="s">
        <v>1406</v>
      </c>
      <c r="H251" s="77" t="s">
        <v>2221</v>
      </c>
      <c r="I251" s="31">
        <f>VLOOKUP(H251,PACOTES!B:E,4,FALSE)</f>
        <v>5</v>
      </c>
      <c r="J251" s="77" t="s">
        <v>134</v>
      </c>
      <c r="K251" s="32">
        <v>3150</v>
      </c>
      <c r="L251" s="32">
        <v>3150</v>
      </c>
      <c r="M251" s="108">
        <v>0</v>
      </c>
      <c r="N251" s="32"/>
      <c r="O251" s="32"/>
      <c r="P251" s="32"/>
    </row>
    <row r="252" spans="1:16">
      <c r="A252" s="57">
        <v>200</v>
      </c>
      <c r="B252" s="37">
        <v>44503</v>
      </c>
      <c r="C252" s="28">
        <v>44508</v>
      </c>
      <c r="D252" s="31" t="s">
        <v>1182</v>
      </c>
      <c r="E252" s="35">
        <v>21981244299</v>
      </c>
      <c r="F252" s="31" t="s">
        <v>10</v>
      </c>
      <c r="G252" s="31" t="s">
        <v>1332</v>
      </c>
      <c r="H252" s="77" t="s">
        <v>2218</v>
      </c>
      <c r="I252" s="31">
        <f>VLOOKUP(H252,PACOTES!B:E,4,FALSE)</f>
        <v>8</v>
      </c>
      <c r="J252" s="77" t="s">
        <v>419</v>
      </c>
      <c r="K252" s="32">
        <v>2100</v>
      </c>
      <c r="L252" s="32">
        <v>2100</v>
      </c>
      <c r="M252" s="108">
        <v>0</v>
      </c>
      <c r="N252" s="32"/>
      <c r="O252" s="32"/>
      <c r="P252" s="32"/>
    </row>
    <row r="253" spans="1:16">
      <c r="A253" s="57">
        <v>206</v>
      </c>
      <c r="B253" s="37">
        <v>44503</v>
      </c>
      <c r="C253" s="28">
        <v>44512</v>
      </c>
      <c r="D253" s="31" t="s">
        <v>1410</v>
      </c>
      <c r="E253" s="35">
        <v>21981569734</v>
      </c>
      <c r="F253" s="31" t="s">
        <v>10</v>
      </c>
      <c r="G253" s="31" t="s">
        <v>1760</v>
      </c>
      <c r="H253" s="77" t="s">
        <v>2218</v>
      </c>
      <c r="I253" s="31">
        <f>VLOOKUP(H253,PACOTES!B:E,4,FALSE)</f>
        <v>8</v>
      </c>
      <c r="J253" s="77" t="s">
        <v>134</v>
      </c>
      <c r="K253" s="32">
        <v>3700</v>
      </c>
      <c r="L253" s="32">
        <v>3700</v>
      </c>
      <c r="M253" s="108">
        <v>0</v>
      </c>
      <c r="N253" s="32"/>
      <c r="O253" s="32"/>
      <c r="P253" s="32"/>
    </row>
    <row r="254" spans="1:16">
      <c r="A254" s="57">
        <v>337</v>
      </c>
      <c r="B254" s="37">
        <v>44503</v>
      </c>
      <c r="C254" s="28">
        <v>44523</v>
      </c>
      <c r="D254" s="31" t="s">
        <v>1988</v>
      </c>
      <c r="E254" s="35">
        <v>21994430069</v>
      </c>
      <c r="F254" s="31" t="s">
        <v>10</v>
      </c>
      <c r="G254" s="31" t="s">
        <v>1233</v>
      </c>
      <c r="H254" s="77" t="s">
        <v>2220</v>
      </c>
      <c r="I254" s="31">
        <f>VLOOKUP(H254,PACOTES!B:E,4,FALSE)</f>
        <v>6</v>
      </c>
      <c r="J254" s="77" t="s">
        <v>419</v>
      </c>
      <c r="K254" s="32">
        <v>3200</v>
      </c>
      <c r="L254" s="32">
        <v>3200</v>
      </c>
      <c r="M254" s="108">
        <v>0</v>
      </c>
      <c r="N254" s="32"/>
      <c r="O254" s="32"/>
      <c r="P254" s="32"/>
    </row>
    <row r="255" spans="1:16">
      <c r="A255" s="57">
        <v>412</v>
      </c>
      <c r="B255" s="37">
        <v>44503</v>
      </c>
      <c r="C255" s="28">
        <v>44523</v>
      </c>
      <c r="D255" s="31" t="s">
        <v>2086</v>
      </c>
      <c r="E255" s="35">
        <v>22988032271</v>
      </c>
      <c r="F255" s="31" t="s">
        <v>10</v>
      </c>
      <c r="G255" s="31" t="s">
        <v>2087</v>
      </c>
      <c r="H255" s="77" t="s">
        <v>2218</v>
      </c>
      <c r="I255" s="31">
        <f>VLOOKUP(H255,PACOTES!B:E,4,FALSE)</f>
        <v>8</v>
      </c>
      <c r="J255" s="77" t="s">
        <v>134</v>
      </c>
      <c r="K255" s="32">
        <v>3600</v>
      </c>
      <c r="L255" s="32">
        <v>3600</v>
      </c>
      <c r="M255" s="108">
        <v>0</v>
      </c>
      <c r="N255" s="32"/>
      <c r="O255" s="32"/>
      <c r="P255" s="32"/>
    </row>
    <row r="256" spans="1:16">
      <c r="A256" s="57" t="s">
        <v>13</v>
      </c>
      <c r="B256" s="37">
        <v>44504</v>
      </c>
      <c r="C256" s="28">
        <v>44505</v>
      </c>
      <c r="D256" s="31" t="s">
        <v>2160</v>
      </c>
      <c r="E256" s="35" t="s">
        <v>13</v>
      </c>
      <c r="F256" s="31" t="s">
        <v>11</v>
      </c>
      <c r="G256" s="31" t="s">
        <v>1426</v>
      </c>
      <c r="H256" s="77" t="s">
        <v>2218</v>
      </c>
      <c r="I256" s="31">
        <f>VLOOKUP(H256,PACOTES!B:E,4,FALSE)</f>
        <v>8</v>
      </c>
      <c r="J256" s="77" t="s">
        <v>419</v>
      </c>
      <c r="K256" s="32">
        <v>1847.99</v>
      </c>
      <c r="L256" s="32">
        <v>1847.99</v>
      </c>
      <c r="M256" s="108">
        <v>0</v>
      </c>
      <c r="N256" s="32"/>
      <c r="O256" s="32"/>
      <c r="P256" s="32"/>
    </row>
    <row r="257" spans="1:16">
      <c r="A257" s="57" t="s">
        <v>2214</v>
      </c>
      <c r="B257" s="37">
        <v>44510</v>
      </c>
      <c r="C257" s="28">
        <v>44513</v>
      </c>
      <c r="D257" s="31" t="s">
        <v>2161</v>
      </c>
      <c r="E257" s="30" t="s">
        <v>2147</v>
      </c>
      <c r="F257" s="31" t="s">
        <v>10</v>
      </c>
      <c r="G257" s="31" t="s">
        <v>2162</v>
      </c>
      <c r="H257" s="77" t="s">
        <v>2218</v>
      </c>
      <c r="I257" s="31">
        <f>VLOOKUP(H257,PACOTES!B:E,4,FALSE)</f>
        <v>8</v>
      </c>
      <c r="J257" s="77" t="s">
        <v>419</v>
      </c>
      <c r="K257" s="32">
        <v>3200</v>
      </c>
      <c r="L257" s="32">
        <v>3200</v>
      </c>
      <c r="M257" s="108">
        <v>0</v>
      </c>
      <c r="N257" s="32"/>
      <c r="O257" s="32"/>
      <c r="P257" s="32"/>
    </row>
    <row r="258" spans="1:16">
      <c r="A258" s="57">
        <v>134</v>
      </c>
      <c r="B258" s="37">
        <v>44518</v>
      </c>
      <c r="C258" s="28">
        <v>44533</v>
      </c>
      <c r="D258" s="29" t="s">
        <v>1640</v>
      </c>
      <c r="E258" s="30">
        <v>21972587426</v>
      </c>
      <c r="F258" s="77" t="s">
        <v>9</v>
      </c>
      <c r="G258" s="31" t="s">
        <v>9</v>
      </c>
      <c r="H258" s="77" t="s">
        <v>2218</v>
      </c>
      <c r="I258" s="31">
        <f>VLOOKUP(H258,PACOTES!B:E,4,FALSE)</f>
        <v>8</v>
      </c>
      <c r="J258" s="77" t="s">
        <v>419</v>
      </c>
      <c r="K258" s="32">
        <v>4000</v>
      </c>
      <c r="L258" s="32">
        <v>4000</v>
      </c>
      <c r="M258" s="108">
        <v>0</v>
      </c>
      <c r="N258" s="32"/>
      <c r="O258" s="32"/>
      <c r="P258" s="32"/>
    </row>
    <row r="259" spans="1:16">
      <c r="A259" s="57">
        <v>134</v>
      </c>
      <c r="B259" s="37">
        <v>44518</v>
      </c>
      <c r="C259" s="28">
        <v>44533</v>
      </c>
      <c r="D259" s="29" t="s">
        <v>1640</v>
      </c>
      <c r="E259" s="30">
        <v>21972587426</v>
      </c>
      <c r="F259" s="31" t="s">
        <v>10</v>
      </c>
      <c r="G259" s="31" t="s">
        <v>1641</v>
      </c>
      <c r="H259" s="77" t="s">
        <v>2218</v>
      </c>
      <c r="I259" s="31">
        <f>VLOOKUP(H259,PACOTES!B:E,4,FALSE)</f>
        <v>8</v>
      </c>
      <c r="J259" s="77" t="s">
        <v>419</v>
      </c>
      <c r="K259" s="32">
        <v>3500</v>
      </c>
      <c r="L259" s="32">
        <v>3500</v>
      </c>
      <c r="M259" s="108">
        <v>0</v>
      </c>
      <c r="N259" s="32"/>
      <c r="O259" s="32"/>
      <c r="P259" s="32"/>
    </row>
    <row r="260" spans="1:16">
      <c r="A260" s="57">
        <v>134</v>
      </c>
      <c r="B260" s="37">
        <v>44518</v>
      </c>
      <c r="C260" s="28">
        <v>44533</v>
      </c>
      <c r="D260" s="29" t="s">
        <v>1640</v>
      </c>
      <c r="E260" s="30">
        <v>21972587426</v>
      </c>
      <c r="F260" s="31" t="s">
        <v>10</v>
      </c>
      <c r="G260" s="31" t="s">
        <v>1642</v>
      </c>
      <c r="H260" s="77" t="s">
        <v>2218</v>
      </c>
      <c r="I260" s="31">
        <f>VLOOKUP(H260,PACOTES!B:E,4,FALSE)</f>
        <v>8</v>
      </c>
      <c r="J260" s="77" t="s">
        <v>419</v>
      </c>
      <c r="K260" s="32">
        <v>3900</v>
      </c>
      <c r="L260" s="32">
        <v>3900</v>
      </c>
      <c r="M260" s="108">
        <v>0</v>
      </c>
      <c r="N260" s="32"/>
      <c r="O260" s="32"/>
      <c r="P260" s="32"/>
    </row>
    <row r="261" spans="1:16">
      <c r="A261" s="57">
        <v>174</v>
      </c>
      <c r="B261" s="37">
        <v>44518</v>
      </c>
      <c r="C261" s="28">
        <v>44533</v>
      </c>
      <c r="D261" s="29" t="s">
        <v>1704</v>
      </c>
      <c r="E261" s="30">
        <v>21977501074</v>
      </c>
      <c r="F261" s="31" t="s">
        <v>10</v>
      </c>
      <c r="G261" s="31" t="s">
        <v>1233</v>
      </c>
      <c r="H261" s="77" t="s">
        <v>2221</v>
      </c>
      <c r="I261" s="31">
        <f>VLOOKUP(H261,PACOTES!B:E,4,FALSE)</f>
        <v>5</v>
      </c>
      <c r="J261" s="77" t="s">
        <v>419</v>
      </c>
      <c r="K261" s="32">
        <v>3608.72</v>
      </c>
      <c r="L261" s="32">
        <v>3608.72</v>
      </c>
      <c r="M261" s="108">
        <v>0</v>
      </c>
      <c r="N261" s="32"/>
      <c r="O261" s="32"/>
      <c r="P261" s="32"/>
    </row>
    <row r="262" spans="1:16">
      <c r="A262" s="57">
        <v>406</v>
      </c>
      <c r="B262" s="37">
        <v>44518</v>
      </c>
      <c r="C262" s="28">
        <v>44533</v>
      </c>
      <c r="D262" s="29" t="s">
        <v>2077</v>
      </c>
      <c r="E262" s="30">
        <v>22974006300</v>
      </c>
      <c r="F262" s="31" t="s">
        <v>10</v>
      </c>
      <c r="G262" s="31" t="s">
        <v>2078</v>
      </c>
      <c r="H262" s="77" t="s">
        <v>2218</v>
      </c>
      <c r="I262" s="31">
        <f>VLOOKUP(H262,PACOTES!B:E,4,FALSE)</f>
        <v>8</v>
      </c>
      <c r="J262" s="77" t="s">
        <v>134</v>
      </c>
      <c r="K262" s="32">
        <v>3701.84</v>
      </c>
      <c r="L262" s="32">
        <v>3701.84</v>
      </c>
      <c r="M262" s="108">
        <v>0</v>
      </c>
      <c r="N262" s="32"/>
      <c r="O262" s="32"/>
      <c r="P262" s="32"/>
    </row>
    <row r="263" spans="1:16">
      <c r="A263" s="57" t="s">
        <v>13</v>
      </c>
      <c r="B263" s="37">
        <v>44518</v>
      </c>
      <c r="C263" s="28">
        <v>44533</v>
      </c>
      <c r="D263" s="29" t="s">
        <v>2163</v>
      </c>
      <c r="E263" s="30" t="s">
        <v>13</v>
      </c>
      <c r="F263" s="31" t="s">
        <v>10</v>
      </c>
      <c r="G263" s="31" t="s">
        <v>2164</v>
      </c>
      <c r="H263" s="77" t="s">
        <v>2218</v>
      </c>
      <c r="I263" s="31">
        <f>VLOOKUP(H263,PACOTES!B:E,4,FALSE)</f>
        <v>8</v>
      </c>
      <c r="J263" s="77" t="s">
        <v>419</v>
      </c>
      <c r="K263" s="32">
        <v>3772.62</v>
      </c>
      <c r="L263" s="32">
        <v>3772.62</v>
      </c>
      <c r="M263" s="108">
        <v>0</v>
      </c>
      <c r="N263" s="32"/>
      <c r="O263" s="32"/>
      <c r="P263" s="32"/>
    </row>
    <row r="264" spans="1:16">
      <c r="A264" s="57" t="s">
        <v>13</v>
      </c>
      <c r="B264" s="37">
        <v>44520</v>
      </c>
      <c r="C264" s="28">
        <v>44520</v>
      </c>
      <c r="D264" s="29" t="s">
        <v>2165</v>
      </c>
      <c r="E264" s="30" t="s">
        <v>13</v>
      </c>
      <c r="F264" s="31" t="s">
        <v>11</v>
      </c>
      <c r="G264" s="31" t="s">
        <v>2166</v>
      </c>
      <c r="H264" s="77" t="s">
        <v>2218</v>
      </c>
      <c r="I264" s="31">
        <f>VLOOKUP(H264,PACOTES!B:E,4,FALSE)</f>
        <v>8</v>
      </c>
      <c r="J264" s="77" t="s">
        <v>419</v>
      </c>
      <c r="K264" s="32">
        <v>2200</v>
      </c>
      <c r="L264" s="32">
        <v>2200</v>
      </c>
      <c r="M264" s="108">
        <v>0</v>
      </c>
      <c r="N264" s="32"/>
      <c r="O264" s="32"/>
      <c r="P264" s="32"/>
    </row>
    <row r="265" spans="1:16">
      <c r="A265" s="57">
        <v>395</v>
      </c>
      <c r="B265" s="37">
        <v>44521</v>
      </c>
      <c r="C265" s="28">
        <v>44523</v>
      </c>
      <c r="D265" s="29" t="s">
        <v>1234</v>
      </c>
      <c r="E265" s="30">
        <v>21998818998</v>
      </c>
      <c r="F265" s="31" t="s">
        <v>11</v>
      </c>
      <c r="G265" s="31" t="s">
        <v>2063</v>
      </c>
      <c r="H265" s="77" t="s">
        <v>2220</v>
      </c>
      <c r="I265" s="31">
        <f>VLOOKUP(H265,PACOTES!B:E,4,FALSE)</f>
        <v>6</v>
      </c>
      <c r="J265" s="77" t="s">
        <v>419</v>
      </c>
      <c r="K265" s="32">
        <v>2074.69</v>
      </c>
      <c r="L265" s="32">
        <v>2074.69</v>
      </c>
      <c r="M265" s="108">
        <v>0</v>
      </c>
      <c r="N265" s="32"/>
      <c r="O265" s="32"/>
      <c r="P265" s="32"/>
    </row>
    <row r="266" spans="1:16">
      <c r="A266" s="57">
        <v>556</v>
      </c>
      <c r="B266" s="37">
        <v>44523</v>
      </c>
      <c r="C266" s="28">
        <v>44524</v>
      </c>
      <c r="D266" s="29" t="s">
        <v>1595</v>
      </c>
      <c r="E266" s="30">
        <v>98981718200</v>
      </c>
      <c r="F266" s="31" t="s">
        <v>11</v>
      </c>
      <c r="G266" s="31" t="s">
        <v>1449</v>
      </c>
      <c r="H266" s="77" t="s">
        <v>2224</v>
      </c>
      <c r="I266" s="31">
        <f>VLOOKUP(H266,PACOTES!B:E,4,FALSE)</f>
        <v>2</v>
      </c>
      <c r="J266" s="77" t="s">
        <v>419</v>
      </c>
      <c r="K266" s="32">
        <v>2057.79</v>
      </c>
      <c r="L266" s="32">
        <v>2057.79</v>
      </c>
      <c r="M266" s="108">
        <v>0</v>
      </c>
      <c r="N266" s="32"/>
      <c r="O266" s="32"/>
      <c r="P266" s="32"/>
    </row>
    <row r="267" spans="1:16">
      <c r="A267" s="57">
        <v>252</v>
      </c>
      <c r="B267" s="37">
        <v>44523</v>
      </c>
      <c r="C267" s="28">
        <v>44526</v>
      </c>
      <c r="D267" s="29" t="s">
        <v>1843</v>
      </c>
      <c r="E267" s="30">
        <v>21984678701</v>
      </c>
      <c r="F267" s="31" t="s">
        <v>11</v>
      </c>
      <c r="G267" s="31" t="s">
        <v>1844</v>
      </c>
      <c r="H267" s="77" t="s">
        <v>2221</v>
      </c>
      <c r="I267" s="31">
        <f>VLOOKUP(H267,PACOTES!B:E,4,FALSE)</f>
        <v>5</v>
      </c>
      <c r="J267" s="77" t="s">
        <v>419</v>
      </c>
      <c r="K267" s="32">
        <v>2200</v>
      </c>
      <c r="L267" s="32">
        <v>2200</v>
      </c>
      <c r="M267" s="108">
        <v>0</v>
      </c>
      <c r="N267" s="32"/>
      <c r="O267" s="32"/>
      <c r="P267" s="32"/>
    </row>
    <row r="268" spans="1:16">
      <c r="A268" s="57">
        <v>261</v>
      </c>
      <c r="B268" s="37">
        <v>44523</v>
      </c>
      <c r="C268" s="28">
        <v>44526</v>
      </c>
      <c r="D268" s="29" t="s">
        <v>1858</v>
      </c>
      <c r="E268" s="30">
        <v>21986015020</v>
      </c>
      <c r="F268" s="31" t="s">
        <v>11</v>
      </c>
      <c r="G268" s="31" t="s">
        <v>1404</v>
      </c>
      <c r="H268" s="77" t="s">
        <v>2218</v>
      </c>
      <c r="I268" s="31">
        <f>VLOOKUP(H268,PACOTES!B:E,4,FALSE)</f>
        <v>8</v>
      </c>
      <c r="J268" s="77" t="s">
        <v>419</v>
      </c>
      <c r="K268" s="32">
        <v>2200</v>
      </c>
      <c r="L268" s="32">
        <v>2200</v>
      </c>
      <c r="M268" s="108">
        <v>0</v>
      </c>
      <c r="N268" s="32"/>
      <c r="O268" s="32"/>
      <c r="P268" s="32"/>
    </row>
    <row r="269" spans="1:16">
      <c r="A269" s="57">
        <v>417</v>
      </c>
      <c r="B269" s="37">
        <v>44523</v>
      </c>
      <c r="C269" s="28">
        <v>44526</v>
      </c>
      <c r="D269" s="29" t="s">
        <v>2049</v>
      </c>
      <c r="E269" s="30">
        <v>22992677676</v>
      </c>
      <c r="F269" s="31" t="s">
        <v>11</v>
      </c>
      <c r="G269" s="31" t="s">
        <v>2092</v>
      </c>
      <c r="H269" s="77" t="s">
        <v>2218</v>
      </c>
      <c r="I269" s="31">
        <f>VLOOKUP(H269,PACOTES!B:E,4,FALSE)</f>
        <v>8</v>
      </c>
      <c r="J269" s="77" t="s">
        <v>419</v>
      </c>
      <c r="K269" s="32">
        <v>2200</v>
      </c>
      <c r="L269" s="32">
        <v>2200</v>
      </c>
      <c r="M269" s="108">
        <v>0</v>
      </c>
      <c r="N269" s="32"/>
      <c r="O269" s="32"/>
      <c r="P269" s="32"/>
    </row>
    <row r="270" spans="1:16">
      <c r="A270" s="57" t="s">
        <v>13</v>
      </c>
      <c r="B270" s="37">
        <v>44523</v>
      </c>
      <c r="C270" s="28">
        <v>44524</v>
      </c>
      <c r="D270" s="29" t="s">
        <v>2167</v>
      </c>
      <c r="E270" s="30" t="s">
        <v>13</v>
      </c>
      <c r="F270" s="31" t="s">
        <v>11</v>
      </c>
      <c r="G270" s="31" t="s">
        <v>1546</v>
      </c>
      <c r="H270" s="77" t="s">
        <v>2218</v>
      </c>
      <c r="I270" s="31">
        <f>VLOOKUP(H270,PACOTES!B:E,4,FALSE)</f>
        <v>8</v>
      </c>
      <c r="J270" s="77" t="s">
        <v>419</v>
      </c>
      <c r="K270" s="32">
        <v>2074.69</v>
      </c>
      <c r="L270" s="32">
        <v>2074.69</v>
      </c>
      <c r="M270" s="108">
        <v>0</v>
      </c>
      <c r="N270" s="32"/>
      <c r="O270" s="32"/>
      <c r="P270" s="32"/>
    </row>
    <row r="271" spans="1:16">
      <c r="A271" s="57">
        <v>502</v>
      </c>
      <c r="B271" s="37">
        <v>44526</v>
      </c>
      <c r="C271" s="28">
        <v>44550</v>
      </c>
      <c r="D271" s="29" t="s">
        <v>1225</v>
      </c>
      <c r="E271" s="30">
        <v>37998091533</v>
      </c>
      <c r="F271" s="31" t="s">
        <v>8</v>
      </c>
      <c r="G271" s="31" t="s">
        <v>1413</v>
      </c>
      <c r="H271" s="77" t="s">
        <v>2224</v>
      </c>
      <c r="I271" s="31">
        <f>VLOOKUP(H271,PACOTES!B:E,4,FALSE)</f>
        <v>2</v>
      </c>
      <c r="J271" s="77" t="s">
        <v>134</v>
      </c>
      <c r="K271" s="32">
        <v>5230.47</v>
      </c>
      <c r="L271" s="32">
        <v>5230.47</v>
      </c>
      <c r="M271" s="108">
        <v>0</v>
      </c>
      <c r="N271" s="32"/>
      <c r="O271" s="32"/>
      <c r="P271" s="32"/>
    </row>
    <row r="272" spans="1:16">
      <c r="A272" s="57" t="s">
        <v>13</v>
      </c>
      <c r="B272" s="37">
        <v>44526</v>
      </c>
      <c r="C272" s="28">
        <v>40875</v>
      </c>
      <c r="D272" s="29" t="s">
        <v>1208</v>
      </c>
      <c r="E272" s="30" t="s">
        <v>13</v>
      </c>
      <c r="F272" s="31" t="s">
        <v>11</v>
      </c>
      <c r="G272" s="31" t="s">
        <v>1546</v>
      </c>
      <c r="H272" s="77" t="s">
        <v>2218</v>
      </c>
      <c r="I272" s="31">
        <f>VLOOKUP(H272,PACOTES!B:E,4,FALSE)</f>
        <v>8</v>
      </c>
      <c r="J272" s="77" t="s">
        <v>419</v>
      </c>
      <c r="K272" s="32">
        <v>2074.69</v>
      </c>
      <c r="L272" s="32">
        <v>2074.69</v>
      </c>
      <c r="M272" s="108">
        <v>0</v>
      </c>
      <c r="N272" s="32"/>
      <c r="O272" s="32"/>
      <c r="P272" s="32"/>
    </row>
    <row r="273" spans="1:16">
      <c r="A273" s="57">
        <v>493</v>
      </c>
      <c r="B273" s="37">
        <v>44528</v>
      </c>
      <c r="C273" s="28">
        <v>44530</v>
      </c>
      <c r="D273" s="29" t="s">
        <v>1365</v>
      </c>
      <c r="E273" s="30">
        <v>31996323250</v>
      </c>
      <c r="F273" s="31" t="s">
        <v>11</v>
      </c>
      <c r="G273" s="31" t="s">
        <v>1277</v>
      </c>
      <c r="H273" s="77" t="s">
        <v>2218</v>
      </c>
      <c r="I273" s="31">
        <f>VLOOKUP(H273,PACOTES!B:E,4,FALSE)</f>
        <v>8</v>
      </c>
      <c r="J273" s="77" t="s">
        <v>419</v>
      </c>
      <c r="K273" s="32">
        <v>2074.69</v>
      </c>
      <c r="L273" s="32">
        <v>2074.69</v>
      </c>
      <c r="M273" s="108">
        <v>0</v>
      </c>
      <c r="N273" s="32"/>
      <c r="O273" s="32"/>
      <c r="P273" s="32"/>
    </row>
    <row r="274" spans="1:16">
      <c r="A274" s="57">
        <v>438</v>
      </c>
      <c r="B274" s="37">
        <v>44528</v>
      </c>
      <c r="C274" s="28">
        <v>44534</v>
      </c>
      <c r="D274" s="29" t="s">
        <v>2119</v>
      </c>
      <c r="E274" s="30">
        <v>24992295511</v>
      </c>
      <c r="F274" s="31" t="s">
        <v>10</v>
      </c>
      <c r="G274" s="31" t="s">
        <v>2120</v>
      </c>
      <c r="H274" s="77" t="s">
        <v>2221</v>
      </c>
      <c r="I274" s="31">
        <f>VLOOKUP(H274,PACOTES!B:E,4,FALSE)</f>
        <v>5</v>
      </c>
      <c r="J274" s="77" t="s">
        <v>419</v>
      </c>
      <c r="K274" s="32">
        <v>3200</v>
      </c>
      <c r="L274" s="32">
        <v>3200</v>
      </c>
      <c r="M274" s="108">
        <v>0</v>
      </c>
      <c r="N274" s="32"/>
      <c r="O274" s="32"/>
      <c r="P274" s="32"/>
    </row>
    <row r="275" spans="1:16">
      <c r="A275" s="57">
        <v>53</v>
      </c>
      <c r="B275" s="37">
        <v>44529</v>
      </c>
      <c r="C275" s="28">
        <v>44530</v>
      </c>
      <c r="D275" s="31" t="s">
        <v>1400</v>
      </c>
      <c r="E275" s="33">
        <v>21965023838</v>
      </c>
      <c r="F275" s="31" t="s">
        <v>10</v>
      </c>
      <c r="G275" s="31" t="s">
        <v>1406</v>
      </c>
      <c r="H275" s="77" t="s">
        <v>2221</v>
      </c>
      <c r="I275" s="31">
        <f>VLOOKUP(H275,PACOTES!B:E,4,FALSE)</f>
        <v>5</v>
      </c>
      <c r="J275" s="77" t="s">
        <v>134</v>
      </c>
      <c r="K275" s="32">
        <v>3150</v>
      </c>
      <c r="L275" s="32">
        <v>3150</v>
      </c>
      <c r="M275" s="108">
        <v>0</v>
      </c>
      <c r="N275" s="32"/>
      <c r="O275" s="32"/>
      <c r="P275" s="32"/>
    </row>
    <row r="276" spans="1:16">
      <c r="A276" s="57">
        <v>65</v>
      </c>
      <c r="B276" s="37">
        <v>44529</v>
      </c>
      <c r="C276" s="28">
        <v>44531</v>
      </c>
      <c r="D276" s="29" t="s">
        <v>1223</v>
      </c>
      <c r="E276" s="30">
        <v>21965960300</v>
      </c>
      <c r="F276" s="31" t="s">
        <v>11</v>
      </c>
      <c r="G276" s="31" t="s">
        <v>1449</v>
      </c>
      <c r="H276" s="77" t="s">
        <v>2221</v>
      </c>
      <c r="I276" s="31">
        <f>VLOOKUP(H276,PACOTES!B:E,4,FALSE)</f>
        <v>5</v>
      </c>
      <c r="J276" s="77" t="s">
        <v>419</v>
      </c>
      <c r="K276" s="32">
        <v>2300</v>
      </c>
      <c r="L276" s="32">
        <v>2300</v>
      </c>
      <c r="M276" s="108">
        <v>0</v>
      </c>
      <c r="N276" s="32"/>
      <c r="O276" s="32"/>
      <c r="P276" s="32"/>
    </row>
    <row r="277" spans="1:16">
      <c r="A277" s="57">
        <v>112</v>
      </c>
      <c r="B277" s="37">
        <v>44529</v>
      </c>
      <c r="C277" s="28">
        <v>44536</v>
      </c>
      <c r="D277" s="29" t="s">
        <v>1398</v>
      </c>
      <c r="E277" s="35">
        <v>21970376282</v>
      </c>
      <c r="F277" s="31" t="s">
        <v>11</v>
      </c>
      <c r="G277" s="31" t="s">
        <v>1433</v>
      </c>
      <c r="H277" s="77" t="s">
        <v>2218</v>
      </c>
      <c r="I277" s="31">
        <f>VLOOKUP(H277,PACOTES!B:E,4,FALSE)</f>
        <v>8</v>
      </c>
      <c r="J277" s="77" t="s">
        <v>419</v>
      </c>
      <c r="K277" s="32">
        <v>2200</v>
      </c>
      <c r="L277" s="32">
        <v>2200</v>
      </c>
      <c r="M277" s="108">
        <v>0</v>
      </c>
      <c r="N277" s="32"/>
      <c r="O277" s="32"/>
      <c r="P277" s="32"/>
    </row>
    <row r="278" spans="1:16">
      <c r="A278" s="57">
        <v>329</v>
      </c>
      <c r="B278" s="37">
        <v>44529</v>
      </c>
      <c r="C278" s="28">
        <v>44530</v>
      </c>
      <c r="D278" s="31" t="s">
        <v>1974</v>
      </c>
      <c r="E278" s="35">
        <v>21993213459</v>
      </c>
      <c r="F278" s="31" t="s">
        <v>11</v>
      </c>
      <c r="G278" s="31" t="s">
        <v>1975</v>
      </c>
      <c r="H278" s="77" t="s">
        <v>2218</v>
      </c>
      <c r="I278" s="31">
        <f>VLOOKUP(H278,PACOTES!B:E,4,FALSE)</f>
        <v>8</v>
      </c>
      <c r="J278" s="77" t="s">
        <v>134</v>
      </c>
      <c r="K278" s="32">
        <v>2699</v>
      </c>
      <c r="L278" s="32">
        <v>2699</v>
      </c>
      <c r="M278" s="108">
        <v>0</v>
      </c>
      <c r="N278" s="32"/>
      <c r="O278" s="32"/>
      <c r="P278" s="32"/>
    </row>
    <row r="279" spans="1:16" s="12" customFormat="1">
      <c r="A279" s="57">
        <v>347</v>
      </c>
      <c r="B279" s="37">
        <v>44529</v>
      </c>
      <c r="C279" s="28">
        <v>44531</v>
      </c>
      <c r="D279" s="29" t="s">
        <v>2004</v>
      </c>
      <c r="E279" s="30">
        <v>21995138719</v>
      </c>
      <c r="F279" s="31" t="s">
        <v>10</v>
      </c>
      <c r="G279" s="31" t="s">
        <v>2005</v>
      </c>
      <c r="H279" s="77" t="s">
        <v>2218</v>
      </c>
      <c r="I279" s="31">
        <f>VLOOKUP(H279,PACOTES!B:E,4,FALSE)</f>
        <v>8</v>
      </c>
      <c r="J279" s="77" t="s">
        <v>134</v>
      </c>
      <c r="K279" s="32">
        <v>3582.44</v>
      </c>
      <c r="L279" s="32">
        <v>3582.44</v>
      </c>
      <c r="M279" s="108">
        <v>0</v>
      </c>
      <c r="N279" s="32"/>
      <c r="O279" s="32"/>
      <c r="P279" s="32"/>
    </row>
    <row r="280" spans="1:16">
      <c r="A280" s="57">
        <v>469</v>
      </c>
      <c r="B280" s="37">
        <v>44530</v>
      </c>
      <c r="C280" s="28">
        <v>44531</v>
      </c>
      <c r="D280" s="29" t="s">
        <v>1265</v>
      </c>
      <c r="E280" s="30">
        <v>11999403675</v>
      </c>
      <c r="F280" s="31" t="s">
        <v>11</v>
      </c>
      <c r="G280" s="31" t="s">
        <v>1237</v>
      </c>
      <c r="H280" s="77" t="s">
        <v>2218</v>
      </c>
      <c r="I280" s="31">
        <f>VLOOKUP(H280,PACOTES!B:E,4,FALSE)</f>
        <v>8</v>
      </c>
      <c r="J280" s="77" t="s">
        <v>419</v>
      </c>
      <c r="K280" s="32">
        <v>2608.84</v>
      </c>
      <c r="L280" s="32">
        <v>2608.84</v>
      </c>
      <c r="M280" s="108">
        <v>0</v>
      </c>
      <c r="N280" s="32"/>
      <c r="O280" s="32"/>
      <c r="P280" s="32"/>
    </row>
    <row r="281" spans="1:16">
      <c r="A281" s="57">
        <v>470</v>
      </c>
      <c r="B281" s="37">
        <v>44530</v>
      </c>
      <c r="C281" s="28">
        <v>44531</v>
      </c>
      <c r="D281" s="29" t="s">
        <v>1267</v>
      </c>
      <c r="E281" s="30">
        <v>11999616086</v>
      </c>
      <c r="F281" s="31" t="s">
        <v>11</v>
      </c>
      <c r="G281" s="31" t="s">
        <v>1268</v>
      </c>
      <c r="H281" s="77" t="s">
        <v>2218</v>
      </c>
      <c r="I281" s="31">
        <f>VLOOKUP(H281,PACOTES!B:E,4,FALSE)</f>
        <v>8</v>
      </c>
      <c r="J281" s="77" t="s">
        <v>419</v>
      </c>
      <c r="K281" s="32">
        <v>0</v>
      </c>
      <c r="L281" s="32">
        <v>0</v>
      </c>
      <c r="M281" s="108">
        <v>0</v>
      </c>
      <c r="N281" s="32"/>
      <c r="O281" s="32"/>
      <c r="P281" s="32"/>
    </row>
    <row r="282" spans="1:16">
      <c r="A282" s="57" t="s">
        <v>13</v>
      </c>
      <c r="B282" s="37">
        <v>44531</v>
      </c>
      <c r="C282" s="28">
        <v>44532</v>
      </c>
      <c r="D282" s="29" t="s">
        <v>2168</v>
      </c>
      <c r="E282" s="30" t="s">
        <v>13</v>
      </c>
      <c r="F282" s="31" t="s">
        <v>11</v>
      </c>
      <c r="G282" s="31" t="s">
        <v>1361</v>
      </c>
      <c r="H282" s="77" t="s">
        <v>2218</v>
      </c>
      <c r="I282" s="31">
        <f>VLOOKUP(H282,PACOTES!B:E,4,FALSE)</f>
        <v>8</v>
      </c>
      <c r="J282" s="77" t="s">
        <v>419</v>
      </c>
      <c r="K282" s="32">
        <v>2500</v>
      </c>
      <c r="L282" s="32">
        <v>2500</v>
      </c>
      <c r="M282" s="108">
        <v>0</v>
      </c>
      <c r="N282" s="32"/>
      <c r="O282" s="32"/>
      <c r="P282" s="32"/>
    </row>
    <row r="283" spans="1:16">
      <c r="A283" s="57">
        <v>527</v>
      </c>
      <c r="B283" s="37">
        <v>44532</v>
      </c>
      <c r="C283" s="37">
        <v>44537</v>
      </c>
      <c r="D283" s="29" t="s">
        <v>1496</v>
      </c>
      <c r="E283" s="35">
        <v>61996430652</v>
      </c>
      <c r="F283" s="31" t="s">
        <v>11</v>
      </c>
      <c r="G283" s="31" t="s">
        <v>1497</v>
      </c>
      <c r="H283" s="77" t="s">
        <v>2218</v>
      </c>
      <c r="I283" s="31">
        <f>VLOOKUP(H283,PACOTES!B:E,4,FALSE)</f>
        <v>8</v>
      </c>
      <c r="J283" s="77" t="s">
        <v>134</v>
      </c>
      <c r="K283" s="32">
        <v>2668.29</v>
      </c>
      <c r="L283" s="32">
        <v>2668.29</v>
      </c>
      <c r="M283" s="108">
        <v>0</v>
      </c>
      <c r="N283" s="32"/>
      <c r="O283" s="32"/>
      <c r="P283" s="32"/>
    </row>
    <row r="284" spans="1:16">
      <c r="A284" s="57">
        <v>116</v>
      </c>
      <c r="B284" s="37">
        <v>44532</v>
      </c>
      <c r="C284" s="28">
        <v>44550</v>
      </c>
      <c r="D284" s="29" t="s">
        <v>1617</v>
      </c>
      <c r="E284" s="35">
        <v>21970416440</v>
      </c>
      <c r="F284" s="31" t="s">
        <v>9</v>
      </c>
      <c r="G284" s="31" t="s">
        <v>1618</v>
      </c>
      <c r="H284" s="77" t="s">
        <v>2218</v>
      </c>
      <c r="I284" s="31">
        <f>VLOOKUP(H284,PACOTES!B:E,4,FALSE)</f>
        <v>8</v>
      </c>
      <c r="J284" s="77" t="s">
        <v>134</v>
      </c>
      <c r="K284" s="32">
        <v>5120</v>
      </c>
      <c r="L284" s="32">
        <v>5120</v>
      </c>
      <c r="M284" s="108">
        <v>0</v>
      </c>
      <c r="N284" s="32"/>
      <c r="O284" s="32"/>
      <c r="P284" s="32"/>
    </row>
    <row r="285" spans="1:16">
      <c r="A285" s="57">
        <v>305</v>
      </c>
      <c r="B285" s="37">
        <v>44532</v>
      </c>
      <c r="C285" s="28">
        <v>44533</v>
      </c>
      <c r="D285" s="29" t="s">
        <v>1937</v>
      </c>
      <c r="E285" s="35">
        <v>21991301741</v>
      </c>
      <c r="F285" s="31" t="s">
        <v>11</v>
      </c>
      <c r="G285" s="31" t="s">
        <v>1420</v>
      </c>
      <c r="H285" s="77" t="s">
        <v>2218</v>
      </c>
      <c r="I285" s="31">
        <f>VLOOKUP(H285,PACOTES!B:E,4,FALSE)</f>
        <v>8</v>
      </c>
      <c r="J285" s="77" t="s">
        <v>419</v>
      </c>
      <c r="K285" s="32">
        <v>0</v>
      </c>
      <c r="L285" s="32">
        <v>0</v>
      </c>
      <c r="M285" s="108">
        <v>0</v>
      </c>
      <c r="N285" s="32"/>
      <c r="O285" s="32"/>
      <c r="P285" s="32"/>
    </row>
    <row r="286" spans="1:16">
      <c r="A286" s="57">
        <v>14</v>
      </c>
      <c r="B286" s="37">
        <v>44537</v>
      </c>
      <c r="C286" s="28">
        <v>44537</v>
      </c>
      <c r="D286" s="29" t="s">
        <v>1234</v>
      </c>
      <c r="E286" s="35">
        <v>21964157635</v>
      </c>
      <c r="F286" s="31" t="s">
        <v>11</v>
      </c>
      <c r="G286" s="31" t="s">
        <v>1235</v>
      </c>
      <c r="H286" s="77" t="s">
        <v>2220</v>
      </c>
      <c r="I286" s="31">
        <f>VLOOKUP(H286,PACOTES!B:E,4,FALSE)</f>
        <v>6</v>
      </c>
      <c r="J286" s="77" t="s">
        <v>419</v>
      </c>
      <c r="K286" s="32">
        <v>2203.34</v>
      </c>
      <c r="L286" s="32">
        <v>2203.34</v>
      </c>
      <c r="M286" s="108">
        <v>0</v>
      </c>
      <c r="N286" s="32"/>
      <c r="O286" s="32"/>
      <c r="P286" s="32"/>
    </row>
    <row r="287" spans="1:16">
      <c r="A287" s="57">
        <v>254</v>
      </c>
      <c r="B287" s="37">
        <v>44537</v>
      </c>
      <c r="C287" s="28">
        <v>44538</v>
      </c>
      <c r="D287" s="29" t="s">
        <v>1539</v>
      </c>
      <c r="E287" s="35">
        <v>21985015066</v>
      </c>
      <c r="F287" s="31" t="s">
        <v>11</v>
      </c>
      <c r="G287" s="31" t="s">
        <v>1848</v>
      </c>
      <c r="H287" s="77" t="s">
        <v>2224</v>
      </c>
      <c r="I287" s="31">
        <f>VLOOKUP(H287,PACOTES!B:E,4,FALSE)</f>
        <v>2</v>
      </c>
      <c r="J287" s="77" t="s">
        <v>419</v>
      </c>
      <c r="K287" s="32">
        <v>2260</v>
      </c>
      <c r="L287" s="32">
        <v>2260</v>
      </c>
      <c r="M287" s="108">
        <v>0</v>
      </c>
      <c r="N287" s="32"/>
      <c r="O287" s="32"/>
      <c r="P287" s="32"/>
    </row>
    <row r="288" spans="1:16">
      <c r="A288" s="57">
        <v>444</v>
      </c>
      <c r="B288" s="37">
        <v>44537</v>
      </c>
      <c r="C288" s="28">
        <v>44538</v>
      </c>
      <c r="D288" s="29" t="s">
        <v>2128</v>
      </c>
      <c r="E288" s="35">
        <v>24998164397</v>
      </c>
      <c r="F288" s="31" t="s">
        <v>11</v>
      </c>
      <c r="G288" s="31" t="s">
        <v>2129</v>
      </c>
      <c r="H288" s="77" t="s">
        <v>2221</v>
      </c>
      <c r="I288" s="31">
        <f>VLOOKUP(H288,PACOTES!B:E,4,FALSE)</f>
        <v>5</v>
      </c>
      <c r="J288" s="77" t="s">
        <v>419</v>
      </c>
      <c r="K288" s="32">
        <v>0</v>
      </c>
      <c r="L288" s="32">
        <v>0</v>
      </c>
      <c r="M288" s="108">
        <v>0</v>
      </c>
      <c r="N288" s="32"/>
      <c r="O288" s="32"/>
      <c r="P288" s="32"/>
    </row>
    <row r="289" spans="1:16">
      <c r="A289" s="57">
        <v>401</v>
      </c>
      <c r="B289" s="37">
        <v>44540</v>
      </c>
      <c r="C289" s="28">
        <v>44543</v>
      </c>
      <c r="D289" s="29" t="s">
        <v>2069</v>
      </c>
      <c r="E289" s="35">
        <v>21999820773</v>
      </c>
      <c r="F289" s="31" t="s">
        <v>11</v>
      </c>
      <c r="G289" s="31" t="s">
        <v>2070</v>
      </c>
      <c r="H289" s="77" t="s">
        <v>2218</v>
      </c>
      <c r="I289" s="31">
        <f>VLOOKUP(H289,PACOTES!B:E,4,FALSE)</f>
        <v>8</v>
      </c>
      <c r="J289" s="77" t="s">
        <v>134</v>
      </c>
      <c r="K289" s="32">
        <v>2700</v>
      </c>
      <c r="L289" s="32">
        <v>2700</v>
      </c>
      <c r="M289" s="108">
        <v>0</v>
      </c>
      <c r="N289" s="32"/>
      <c r="O289" s="32"/>
      <c r="P289" s="32"/>
    </row>
    <row r="290" spans="1:16">
      <c r="A290" s="57">
        <v>245</v>
      </c>
      <c r="B290" s="37">
        <v>44541</v>
      </c>
      <c r="C290" s="37">
        <v>44549</v>
      </c>
      <c r="D290" s="31" t="s">
        <v>1831</v>
      </c>
      <c r="E290" s="30">
        <v>21983754247</v>
      </c>
      <c r="F290" s="31" t="s">
        <v>10</v>
      </c>
      <c r="G290" s="31" t="s">
        <v>1832</v>
      </c>
      <c r="H290" s="77" t="s">
        <v>2222</v>
      </c>
      <c r="I290" s="31">
        <f>VLOOKUP(H290,PACOTES!B:E,4,FALSE)</f>
        <v>4</v>
      </c>
      <c r="J290" s="77" t="s">
        <v>134</v>
      </c>
      <c r="K290" s="32">
        <v>3702.08</v>
      </c>
      <c r="L290" s="32">
        <v>3702.08</v>
      </c>
      <c r="M290" s="108">
        <v>0</v>
      </c>
      <c r="N290" s="32"/>
      <c r="O290" s="32"/>
      <c r="P290" s="32"/>
    </row>
    <row r="291" spans="1:16">
      <c r="A291" s="57">
        <v>327</v>
      </c>
      <c r="B291" s="37">
        <v>44541</v>
      </c>
      <c r="C291" s="37">
        <v>44552</v>
      </c>
      <c r="D291" s="31" t="s">
        <v>1971</v>
      </c>
      <c r="E291" s="30">
        <v>21992983077</v>
      </c>
      <c r="F291" s="31" t="s">
        <v>10</v>
      </c>
      <c r="G291" s="31" t="s">
        <v>1567</v>
      </c>
      <c r="H291" s="77" t="s">
        <v>2225</v>
      </c>
      <c r="I291" s="31">
        <f>VLOOKUP(H291,PACOTES!B:E,4,FALSE)</f>
        <v>1</v>
      </c>
      <c r="J291" s="77" t="s">
        <v>134</v>
      </c>
      <c r="K291" s="32">
        <v>3700</v>
      </c>
      <c r="L291" s="32">
        <v>3700</v>
      </c>
      <c r="M291" s="108">
        <v>0</v>
      </c>
      <c r="N291" s="32"/>
      <c r="O291" s="32"/>
      <c r="P291" s="32"/>
    </row>
    <row r="292" spans="1:16">
      <c r="A292" s="57">
        <v>371</v>
      </c>
      <c r="B292" s="37">
        <v>44541</v>
      </c>
      <c r="C292" s="37">
        <v>44513</v>
      </c>
      <c r="D292" s="31" t="s">
        <v>2038</v>
      </c>
      <c r="E292" s="30">
        <v>21996847692</v>
      </c>
      <c r="F292" s="31" t="s">
        <v>12</v>
      </c>
      <c r="G292" s="31" t="s">
        <v>2039</v>
      </c>
      <c r="H292" s="77" t="s">
        <v>2226</v>
      </c>
      <c r="I292" s="31">
        <f>VLOOKUP(H292,PACOTES!B:E,4,FALSE)</f>
        <v>0</v>
      </c>
      <c r="J292" s="77" t="s">
        <v>419</v>
      </c>
      <c r="K292" s="32">
        <v>600</v>
      </c>
      <c r="L292" s="32">
        <v>600</v>
      </c>
      <c r="M292" s="108">
        <v>0</v>
      </c>
      <c r="N292" s="32"/>
      <c r="O292" s="32"/>
      <c r="P292" s="32"/>
    </row>
    <row r="293" spans="1:16">
      <c r="A293" s="57">
        <v>314</v>
      </c>
      <c r="B293" s="37">
        <v>44542</v>
      </c>
      <c r="C293" s="28">
        <v>44543</v>
      </c>
      <c r="D293" s="29" t="s">
        <v>1290</v>
      </c>
      <c r="E293" s="35">
        <v>21991931737</v>
      </c>
      <c r="F293" s="31" t="s">
        <v>11</v>
      </c>
      <c r="G293" s="31" t="s">
        <v>1582</v>
      </c>
      <c r="H293" s="77" t="s">
        <v>2220</v>
      </c>
      <c r="I293" s="31">
        <f>VLOOKUP(H293,PACOTES!B:E,4,FALSE)</f>
        <v>6</v>
      </c>
      <c r="J293" s="77" t="s">
        <v>419</v>
      </c>
      <c r="K293" s="32">
        <v>2264.08</v>
      </c>
      <c r="L293" s="32">
        <v>2264.08</v>
      </c>
      <c r="M293" s="108">
        <v>0</v>
      </c>
      <c r="N293" s="32"/>
      <c r="O293" s="32"/>
      <c r="P293" s="32"/>
    </row>
    <row r="294" spans="1:16">
      <c r="A294" s="57">
        <v>345</v>
      </c>
      <c r="B294" s="37">
        <v>44543</v>
      </c>
      <c r="C294" s="37">
        <v>44551</v>
      </c>
      <c r="D294" s="31" t="s">
        <v>1808</v>
      </c>
      <c r="E294" s="30">
        <v>21995111593</v>
      </c>
      <c r="F294" s="31" t="s">
        <v>10</v>
      </c>
      <c r="G294" s="31" t="s">
        <v>1567</v>
      </c>
      <c r="H294" s="77" t="s">
        <v>2218</v>
      </c>
      <c r="I294" s="31">
        <f>VLOOKUP(H294,PACOTES!B:E,4,FALSE)</f>
        <v>8</v>
      </c>
      <c r="J294" s="77" t="s">
        <v>134</v>
      </c>
      <c r="K294" s="32">
        <v>3700</v>
      </c>
      <c r="L294" s="32">
        <v>3700</v>
      </c>
      <c r="M294" s="108">
        <v>0</v>
      </c>
      <c r="N294" s="32"/>
      <c r="O294" s="32"/>
      <c r="P294" s="32"/>
    </row>
    <row r="295" spans="1:16">
      <c r="A295" s="57">
        <v>391</v>
      </c>
      <c r="B295" s="37">
        <v>44543</v>
      </c>
      <c r="C295" s="37">
        <v>44544</v>
      </c>
      <c r="D295" s="31" t="s">
        <v>2058</v>
      </c>
      <c r="E295" s="30">
        <v>21998697184</v>
      </c>
      <c r="F295" s="31" t="s">
        <v>11</v>
      </c>
      <c r="G295" s="31" t="s">
        <v>2059</v>
      </c>
      <c r="H295" s="77" t="s">
        <v>2218</v>
      </c>
      <c r="I295" s="31">
        <f>VLOOKUP(H295,PACOTES!B:E,4,FALSE)</f>
        <v>8</v>
      </c>
      <c r="J295" s="77" t="s">
        <v>419</v>
      </c>
      <c r="K295" s="32">
        <v>2136.4299999999998</v>
      </c>
      <c r="L295" s="32">
        <v>2136.4299999999998</v>
      </c>
      <c r="M295" s="108">
        <v>0</v>
      </c>
      <c r="N295" s="32"/>
      <c r="O295" s="32"/>
      <c r="P295" s="32"/>
    </row>
    <row r="296" spans="1:16">
      <c r="A296" s="57">
        <v>102</v>
      </c>
      <c r="B296" s="37">
        <v>44544</v>
      </c>
      <c r="C296" s="37">
        <v>44551</v>
      </c>
      <c r="D296" s="29" t="s">
        <v>1576</v>
      </c>
      <c r="E296" s="35">
        <v>21970087071</v>
      </c>
      <c r="F296" s="31" t="s">
        <v>11</v>
      </c>
      <c r="G296" s="31" t="s">
        <v>1577</v>
      </c>
      <c r="H296" s="77" t="s">
        <v>2218</v>
      </c>
      <c r="I296" s="31">
        <f>VLOOKUP(H296,PACOTES!B:E,4,FALSE)</f>
        <v>8</v>
      </c>
      <c r="J296" s="77" t="s">
        <v>134</v>
      </c>
      <c r="K296" s="32">
        <v>2700</v>
      </c>
      <c r="L296" s="32">
        <v>2700</v>
      </c>
      <c r="M296" s="108">
        <v>0</v>
      </c>
      <c r="N296" s="32"/>
      <c r="O296" s="32"/>
      <c r="P296" s="32"/>
    </row>
    <row r="297" spans="1:16">
      <c r="A297" s="57">
        <v>177</v>
      </c>
      <c r="B297" s="37">
        <v>44544</v>
      </c>
      <c r="C297" s="37">
        <v>44545</v>
      </c>
      <c r="D297" s="29" t="s">
        <v>1710</v>
      </c>
      <c r="E297" s="35">
        <v>21979495918</v>
      </c>
      <c r="F297" s="31" t="s">
        <v>11</v>
      </c>
      <c r="G297" s="31" t="s">
        <v>1711</v>
      </c>
      <c r="H297" s="77" t="s">
        <v>2225</v>
      </c>
      <c r="I297" s="31">
        <f>VLOOKUP(H297,PACOTES!B:E,4,FALSE)</f>
        <v>1</v>
      </c>
      <c r="J297" s="77" t="s">
        <v>419</v>
      </c>
      <c r="K297" s="32">
        <v>2300.2399999999998</v>
      </c>
      <c r="L297" s="32">
        <v>2300.2399999999998</v>
      </c>
      <c r="M297" s="108">
        <v>0</v>
      </c>
      <c r="N297" s="32"/>
      <c r="O297" s="32"/>
      <c r="P297" s="32"/>
    </row>
    <row r="298" spans="1:16">
      <c r="A298" s="57">
        <v>217</v>
      </c>
      <c r="B298" s="37">
        <v>44544</v>
      </c>
      <c r="C298" s="28">
        <v>44544</v>
      </c>
      <c r="D298" s="31" t="s">
        <v>1775</v>
      </c>
      <c r="E298" s="30">
        <v>21982086040</v>
      </c>
      <c r="F298" s="31" t="s">
        <v>11</v>
      </c>
      <c r="G298" s="31" t="s">
        <v>1237</v>
      </c>
      <c r="H298" s="77" t="s">
        <v>2218</v>
      </c>
      <c r="I298" s="31">
        <f>VLOOKUP(H298,PACOTES!B:E,4,FALSE)</f>
        <v>8</v>
      </c>
      <c r="J298" s="77" t="s">
        <v>419</v>
      </c>
      <c r="K298" s="32">
        <v>2265</v>
      </c>
      <c r="L298" s="32">
        <v>2265</v>
      </c>
      <c r="M298" s="108">
        <v>0</v>
      </c>
      <c r="N298" s="32"/>
      <c r="O298" s="32"/>
      <c r="P298" s="32"/>
    </row>
    <row r="299" spans="1:16">
      <c r="A299" s="57">
        <v>220</v>
      </c>
      <c r="B299" s="37">
        <v>44544</v>
      </c>
      <c r="C299" s="37">
        <v>44544</v>
      </c>
      <c r="D299" s="31" t="s">
        <v>1784</v>
      </c>
      <c r="E299" s="30">
        <v>21982214284</v>
      </c>
      <c r="F299" s="31" t="s">
        <v>11</v>
      </c>
      <c r="G299" s="31" t="s">
        <v>1224</v>
      </c>
      <c r="H299" s="77" t="s">
        <v>2218</v>
      </c>
      <c r="I299" s="31">
        <f>VLOOKUP(H299,PACOTES!B:E,4,FALSE)</f>
        <v>8</v>
      </c>
      <c r="J299" s="77" t="s">
        <v>419</v>
      </c>
      <c r="K299" s="32">
        <v>0</v>
      </c>
      <c r="L299" s="32">
        <v>0</v>
      </c>
      <c r="M299" s="108">
        <v>0</v>
      </c>
      <c r="N299" s="32"/>
      <c r="O299" s="32"/>
      <c r="P299" s="32"/>
    </row>
    <row r="300" spans="1:16">
      <c r="A300" s="57">
        <v>292</v>
      </c>
      <c r="B300" s="37">
        <v>44544</v>
      </c>
      <c r="C300" s="28">
        <v>44551</v>
      </c>
      <c r="D300" s="29" t="s">
        <v>1918</v>
      </c>
      <c r="E300" s="35">
        <v>21988691646</v>
      </c>
      <c r="F300" s="31" t="s">
        <v>11</v>
      </c>
      <c r="G300" s="31" t="s">
        <v>1318</v>
      </c>
      <c r="H300" s="77" t="s">
        <v>2218</v>
      </c>
      <c r="I300" s="31">
        <f>VLOOKUP(H300,PACOTES!B:E,4,FALSE)</f>
        <v>8</v>
      </c>
      <c r="J300" s="77" t="s">
        <v>419</v>
      </c>
      <c r="K300" s="32">
        <v>2300</v>
      </c>
      <c r="L300" s="32">
        <v>2300</v>
      </c>
      <c r="M300" s="108">
        <v>0</v>
      </c>
      <c r="N300" s="32"/>
      <c r="O300" s="32"/>
      <c r="P300" s="32"/>
    </row>
    <row r="301" spans="1:16">
      <c r="A301" s="57">
        <v>385</v>
      </c>
      <c r="B301" s="37">
        <v>44544</v>
      </c>
      <c r="C301" s="28">
        <v>44551</v>
      </c>
      <c r="D301" s="29" t="s">
        <v>2054</v>
      </c>
      <c r="E301" s="35">
        <v>21997840691</v>
      </c>
      <c r="F301" s="31" t="s">
        <v>11</v>
      </c>
      <c r="G301" s="31" t="s">
        <v>1895</v>
      </c>
      <c r="H301" s="77" t="s">
        <v>2221</v>
      </c>
      <c r="I301" s="31">
        <f>VLOOKUP(H301,PACOTES!B:E,4,FALSE)</f>
        <v>5</v>
      </c>
      <c r="J301" s="77" t="s">
        <v>134</v>
      </c>
      <c r="K301" s="32">
        <v>2702.2</v>
      </c>
      <c r="L301" s="32">
        <v>2702.2</v>
      </c>
      <c r="M301" s="108">
        <v>0</v>
      </c>
      <c r="N301" s="32"/>
      <c r="O301" s="32"/>
      <c r="P301" s="32"/>
    </row>
    <row r="302" spans="1:16">
      <c r="A302" s="57">
        <v>531</v>
      </c>
      <c r="B302" s="37">
        <v>44546</v>
      </c>
      <c r="C302" s="28">
        <v>44547</v>
      </c>
      <c r="D302" s="31" t="s">
        <v>1514</v>
      </c>
      <c r="E302" s="30">
        <v>62982941903</v>
      </c>
      <c r="F302" s="31" t="s">
        <v>11</v>
      </c>
      <c r="G302" s="31" t="s">
        <v>1249</v>
      </c>
      <c r="H302" s="77" t="s">
        <v>2218</v>
      </c>
      <c r="I302" s="31">
        <f>VLOOKUP(H302,PACOTES!B:E,4,FALSE)</f>
        <v>8</v>
      </c>
      <c r="J302" s="77" t="s">
        <v>419</v>
      </c>
      <c r="K302" s="32">
        <v>2001.05</v>
      </c>
      <c r="L302" s="32">
        <v>2001.05</v>
      </c>
      <c r="M302" s="108">
        <v>0</v>
      </c>
      <c r="N302" s="32"/>
      <c r="O302" s="32"/>
      <c r="P302" s="32"/>
    </row>
    <row r="303" spans="1:16">
      <c r="A303" s="57">
        <v>278</v>
      </c>
      <c r="B303" s="37">
        <v>44546</v>
      </c>
      <c r="C303" s="37">
        <v>44546</v>
      </c>
      <c r="D303" s="29" t="s">
        <v>1894</v>
      </c>
      <c r="E303" s="35">
        <v>21987608039</v>
      </c>
      <c r="F303" s="31" t="s">
        <v>11</v>
      </c>
      <c r="G303" s="31" t="s">
        <v>1895</v>
      </c>
      <c r="H303" s="77" t="s">
        <v>2226</v>
      </c>
      <c r="I303" s="31">
        <f>VLOOKUP(H303,PACOTES!B:E,4,FALSE)</f>
        <v>0</v>
      </c>
      <c r="J303" s="77" t="s">
        <v>134</v>
      </c>
      <c r="K303" s="32">
        <v>1833.59</v>
      </c>
      <c r="L303" s="32">
        <v>1833.59</v>
      </c>
      <c r="M303" s="108">
        <v>0</v>
      </c>
      <c r="N303" s="104" t="s">
        <v>2246</v>
      </c>
      <c r="O303" s="104" t="s">
        <v>135</v>
      </c>
      <c r="P303" s="104" t="s">
        <v>135</v>
      </c>
    </row>
    <row r="304" spans="1:16">
      <c r="A304" s="57">
        <v>45</v>
      </c>
      <c r="B304" s="37">
        <v>44547</v>
      </c>
      <c r="C304" s="37">
        <v>44552</v>
      </c>
      <c r="D304" s="31" t="s">
        <v>1366</v>
      </c>
      <c r="E304" s="30">
        <v>21964788634</v>
      </c>
      <c r="F304" s="31" t="s">
        <v>10</v>
      </c>
      <c r="G304" s="31" t="s">
        <v>1367</v>
      </c>
      <c r="H304" s="77" t="s">
        <v>2224</v>
      </c>
      <c r="I304" s="31">
        <f>VLOOKUP(H304,PACOTES!B:E,4,FALSE)</f>
        <v>2</v>
      </c>
      <c r="J304" s="77" t="s">
        <v>419</v>
      </c>
      <c r="K304" s="32">
        <v>3200</v>
      </c>
      <c r="L304" s="32">
        <v>3200</v>
      </c>
      <c r="M304" s="108">
        <v>0</v>
      </c>
      <c r="N304" s="32"/>
      <c r="O304" s="32"/>
      <c r="P304" s="32"/>
    </row>
    <row r="305" spans="1:16">
      <c r="A305" s="57">
        <v>258</v>
      </c>
      <c r="B305" s="37">
        <v>44547</v>
      </c>
      <c r="C305" s="37">
        <v>44554</v>
      </c>
      <c r="D305" s="31" t="s">
        <v>1300</v>
      </c>
      <c r="E305" s="30">
        <v>21985392003</v>
      </c>
      <c r="F305" s="31" t="s">
        <v>10</v>
      </c>
      <c r="G305" s="31" t="s">
        <v>1853</v>
      </c>
      <c r="H305" s="77" t="s">
        <v>2220</v>
      </c>
      <c r="I305" s="31">
        <f>VLOOKUP(H305,PACOTES!B:E,4,FALSE)</f>
        <v>6</v>
      </c>
      <c r="J305" s="77" t="s">
        <v>419</v>
      </c>
      <c r="K305" s="32">
        <v>3200</v>
      </c>
      <c r="L305" s="32">
        <v>3200</v>
      </c>
      <c r="M305" s="108">
        <v>0</v>
      </c>
      <c r="N305" s="32"/>
      <c r="O305" s="32"/>
      <c r="P305" s="32"/>
    </row>
    <row r="306" spans="1:16">
      <c r="A306" s="57" t="s">
        <v>2214</v>
      </c>
      <c r="B306" s="37">
        <v>44547</v>
      </c>
      <c r="C306" s="37">
        <v>44554</v>
      </c>
      <c r="D306" s="31" t="s">
        <v>2169</v>
      </c>
      <c r="E306" s="30" t="s">
        <v>2170</v>
      </c>
      <c r="F306" s="31" t="s">
        <v>10</v>
      </c>
      <c r="G306" s="31" t="s">
        <v>1367</v>
      </c>
      <c r="H306" s="77" t="s">
        <v>2218</v>
      </c>
      <c r="I306" s="31">
        <f>VLOOKUP(H306,PACOTES!B:E,4,FALSE)</f>
        <v>8</v>
      </c>
      <c r="J306" s="77" t="s">
        <v>419</v>
      </c>
      <c r="K306" s="32">
        <v>3206.6</v>
      </c>
      <c r="L306" s="32">
        <v>3206.6</v>
      </c>
      <c r="M306" s="108">
        <v>0</v>
      </c>
      <c r="N306" s="32"/>
      <c r="O306" s="32"/>
      <c r="P306" s="32"/>
    </row>
    <row r="307" spans="1:16">
      <c r="A307" s="57">
        <v>205</v>
      </c>
      <c r="B307" s="37">
        <v>44548</v>
      </c>
      <c r="C307" s="37">
        <v>44551</v>
      </c>
      <c r="D307" s="31" t="s">
        <v>1759</v>
      </c>
      <c r="E307" s="30">
        <v>21981483599</v>
      </c>
      <c r="F307" s="31" t="s">
        <v>11</v>
      </c>
      <c r="G307" s="31" t="s">
        <v>1249</v>
      </c>
      <c r="H307" s="77" t="s">
        <v>2218</v>
      </c>
      <c r="I307" s="31">
        <f>VLOOKUP(H307,PACOTES!B:E,4,FALSE)</f>
        <v>8</v>
      </c>
      <c r="J307" s="77" t="s">
        <v>419</v>
      </c>
      <c r="K307" s="32">
        <v>2202.4899999999998</v>
      </c>
      <c r="L307" s="32">
        <v>2202.4899999999998</v>
      </c>
      <c r="M307" s="108">
        <v>0</v>
      </c>
      <c r="N307" s="32"/>
      <c r="O307" s="32"/>
      <c r="P307" s="32"/>
    </row>
    <row r="308" spans="1:16">
      <c r="A308" s="57">
        <v>228</v>
      </c>
      <c r="B308" s="37">
        <v>44548</v>
      </c>
      <c r="C308" s="28">
        <v>44551</v>
      </c>
      <c r="D308" s="31" t="s">
        <v>1483</v>
      </c>
      <c r="E308" s="30">
        <v>21982646757</v>
      </c>
      <c r="F308" s="31" t="s">
        <v>11</v>
      </c>
      <c r="G308" s="31" t="s">
        <v>1799</v>
      </c>
      <c r="H308" s="77" t="s">
        <v>2221</v>
      </c>
      <c r="I308" s="31">
        <f>VLOOKUP(H308,PACOTES!B:E,4,FALSE)</f>
        <v>5</v>
      </c>
      <c r="J308" s="77" t="s">
        <v>134</v>
      </c>
      <c r="K308" s="32">
        <v>2720.17</v>
      </c>
      <c r="L308" s="32">
        <v>2720.17</v>
      </c>
      <c r="M308" s="108">
        <v>0</v>
      </c>
      <c r="N308" s="32"/>
      <c r="O308" s="32"/>
      <c r="P308" s="32"/>
    </row>
    <row r="309" spans="1:16">
      <c r="A309" s="57">
        <v>253</v>
      </c>
      <c r="B309" s="37">
        <v>44548</v>
      </c>
      <c r="C309" s="37">
        <v>44548</v>
      </c>
      <c r="D309" s="29" t="s">
        <v>1846</v>
      </c>
      <c r="E309" s="35">
        <v>21984953051</v>
      </c>
      <c r="F309" s="31" t="s">
        <v>11</v>
      </c>
      <c r="G309" s="31" t="s">
        <v>1847</v>
      </c>
      <c r="H309" s="77" t="s">
        <v>2220</v>
      </c>
      <c r="I309" s="31">
        <f>VLOOKUP(H309,PACOTES!B:E,4,FALSE)</f>
        <v>6</v>
      </c>
      <c r="J309" s="77" t="s">
        <v>419</v>
      </c>
      <c r="K309" s="32">
        <v>2435.9899999999998</v>
      </c>
      <c r="L309" s="32" t="s">
        <v>13</v>
      </c>
      <c r="M309" s="108">
        <v>0</v>
      </c>
      <c r="N309" s="32"/>
      <c r="O309" s="32"/>
      <c r="P309" s="32"/>
    </row>
    <row r="310" spans="1:16">
      <c r="A310" s="57">
        <v>482</v>
      </c>
      <c r="B310" s="37">
        <v>44554</v>
      </c>
      <c r="C310" s="28">
        <v>44558</v>
      </c>
      <c r="D310" s="29" t="s">
        <v>1317</v>
      </c>
      <c r="E310" s="35">
        <v>18996299484</v>
      </c>
      <c r="F310" s="31" t="s">
        <v>11</v>
      </c>
      <c r="G310" s="31" t="s">
        <v>1318</v>
      </c>
      <c r="H310" s="77" t="s">
        <v>2223</v>
      </c>
      <c r="I310" s="31">
        <f>VLOOKUP(H310,PACOTES!B:E,4,FALSE)</f>
        <v>3</v>
      </c>
      <c r="J310" s="77" t="s">
        <v>134</v>
      </c>
      <c r="K310" s="32">
        <v>2772.35</v>
      </c>
      <c r="L310" s="32">
        <v>2772.35</v>
      </c>
      <c r="M310" s="108">
        <v>0</v>
      </c>
      <c r="N310" s="32"/>
      <c r="O310" s="32"/>
      <c r="P310" s="32"/>
    </row>
    <row r="311" spans="1:16">
      <c r="A311" s="57">
        <v>535</v>
      </c>
      <c r="B311" s="37">
        <v>44554</v>
      </c>
      <c r="C311" s="28">
        <v>44557</v>
      </c>
      <c r="D311" s="29" t="s">
        <v>1526</v>
      </c>
      <c r="E311" s="30">
        <v>67984070289</v>
      </c>
      <c r="F311" s="31" t="s">
        <v>11</v>
      </c>
      <c r="G311" s="31" t="s">
        <v>1452</v>
      </c>
      <c r="H311" s="77" t="s">
        <v>2220</v>
      </c>
      <c r="I311" s="31">
        <f>VLOOKUP(H311,PACOTES!B:E,4,FALSE)</f>
        <v>6</v>
      </c>
      <c r="J311" s="77" t="s">
        <v>134</v>
      </c>
      <c r="K311" s="32">
        <v>2759.38</v>
      </c>
      <c r="L311" s="32">
        <v>2759.38</v>
      </c>
      <c r="M311" s="108">
        <v>0</v>
      </c>
      <c r="N311" s="32"/>
      <c r="O311" s="32"/>
      <c r="P311" s="32"/>
    </row>
    <row r="312" spans="1:16">
      <c r="A312" s="57">
        <v>156</v>
      </c>
      <c r="B312" s="37">
        <v>44554</v>
      </c>
      <c r="C312" s="28">
        <v>44558</v>
      </c>
      <c r="D312" s="29" t="s">
        <v>1683</v>
      </c>
      <c r="E312" s="35">
        <v>21974927026</v>
      </c>
      <c r="F312" s="31" t="s">
        <v>11</v>
      </c>
      <c r="G312" s="31" t="s">
        <v>1684</v>
      </c>
      <c r="H312" s="77" t="s">
        <v>2218</v>
      </c>
      <c r="I312" s="31">
        <f>VLOOKUP(H312,PACOTES!B:E,4,FALSE)</f>
        <v>8</v>
      </c>
      <c r="J312" s="77" t="s">
        <v>419</v>
      </c>
      <c r="K312" s="32">
        <v>2202.6999999999998</v>
      </c>
      <c r="L312" s="32">
        <v>2202.6999999999998</v>
      </c>
      <c r="M312" s="108">
        <v>0</v>
      </c>
      <c r="N312" s="32"/>
      <c r="O312" s="32"/>
      <c r="P312" s="32"/>
    </row>
    <row r="313" spans="1:16">
      <c r="A313" s="57">
        <v>255</v>
      </c>
      <c r="B313" s="37">
        <v>44554</v>
      </c>
      <c r="C313" s="28">
        <v>44558</v>
      </c>
      <c r="D313" s="29" t="s">
        <v>1849</v>
      </c>
      <c r="E313" s="35">
        <v>21985031621</v>
      </c>
      <c r="F313" s="31" t="s">
        <v>11</v>
      </c>
      <c r="G313" s="31" t="s">
        <v>1827</v>
      </c>
      <c r="H313" s="77" t="s">
        <v>2220</v>
      </c>
      <c r="I313" s="31">
        <f>VLOOKUP(H313,PACOTES!B:E,4,FALSE)</f>
        <v>6</v>
      </c>
      <c r="J313" s="77" t="s">
        <v>419</v>
      </c>
      <c r="K313" s="32">
        <v>2408.9899999999998</v>
      </c>
      <c r="L313" s="32">
        <v>2408.9899999999998</v>
      </c>
      <c r="M313" s="108">
        <v>0</v>
      </c>
      <c r="N313" s="32"/>
      <c r="O313" s="32"/>
      <c r="P313" s="32"/>
    </row>
    <row r="314" spans="1:16">
      <c r="A314" s="57">
        <v>358</v>
      </c>
      <c r="B314" s="37">
        <v>44554</v>
      </c>
      <c r="C314" s="28">
        <v>44554</v>
      </c>
      <c r="D314" s="29" t="s">
        <v>2020</v>
      </c>
      <c r="E314" s="35">
        <v>21996057379</v>
      </c>
      <c r="F314" s="31" t="s">
        <v>11</v>
      </c>
      <c r="G314" s="31" t="s">
        <v>1277</v>
      </c>
      <c r="H314" s="77" t="s">
        <v>2218</v>
      </c>
      <c r="I314" s="31">
        <f>VLOOKUP(H314,PACOTES!B:E,4,FALSE)</f>
        <v>8</v>
      </c>
      <c r="J314" s="77" t="s">
        <v>419</v>
      </c>
      <c r="K314" s="32">
        <v>2200</v>
      </c>
      <c r="L314" s="32">
        <v>2200</v>
      </c>
      <c r="M314" s="108">
        <v>0</v>
      </c>
      <c r="N314" s="32"/>
      <c r="O314" s="32"/>
      <c r="P314" s="32"/>
    </row>
    <row r="315" spans="1:16">
      <c r="A315" s="57">
        <v>414</v>
      </c>
      <c r="B315" s="37">
        <v>44554</v>
      </c>
      <c r="C315" s="28">
        <v>44558</v>
      </c>
      <c r="D315" s="29" t="s">
        <v>1300</v>
      </c>
      <c r="E315" s="35">
        <v>22988547588</v>
      </c>
      <c r="F315" s="31" t="s">
        <v>11</v>
      </c>
      <c r="G315" s="31" t="s">
        <v>1917</v>
      </c>
      <c r="H315" s="77" t="s">
        <v>2221</v>
      </c>
      <c r="I315" s="31">
        <f>VLOOKUP(H315,PACOTES!B:E,4,FALSE)</f>
        <v>5</v>
      </c>
      <c r="J315" s="77" t="s">
        <v>419</v>
      </c>
      <c r="K315" s="32">
        <v>2200</v>
      </c>
      <c r="L315" s="32">
        <v>2200</v>
      </c>
      <c r="M315" s="108">
        <v>0</v>
      </c>
      <c r="N315" s="32"/>
      <c r="O315" s="32"/>
      <c r="P315" s="32"/>
    </row>
    <row r="316" spans="1:16">
      <c r="A316" s="57">
        <v>11</v>
      </c>
      <c r="B316" s="37">
        <v>44559</v>
      </c>
      <c r="C316" s="28">
        <v>44560</v>
      </c>
      <c r="D316" s="29" t="s">
        <v>1219</v>
      </c>
      <c r="E316" s="30">
        <v>21964106711</v>
      </c>
      <c r="F316" s="31" t="s">
        <v>11</v>
      </c>
      <c r="G316" s="31" t="s">
        <v>1220</v>
      </c>
      <c r="H316" s="77" t="s">
        <v>2218</v>
      </c>
      <c r="I316" s="31">
        <f>VLOOKUP(H316,PACOTES!B:E,4,FALSE)</f>
        <v>8</v>
      </c>
      <c r="J316" s="77" t="s">
        <v>419</v>
      </c>
      <c r="K316" s="32">
        <v>2202.35</v>
      </c>
      <c r="L316" s="32">
        <v>2202.35</v>
      </c>
      <c r="M316" s="108">
        <v>0</v>
      </c>
      <c r="N316" s="32"/>
      <c r="O316" s="32"/>
      <c r="P316" s="32"/>
    </row>
    <row r="317" spans="1:16">
      <c r="A317" s="57">
        <v>473</v>
      </c>
      <c r="B317" s="37">
        <v>44559</v>
      </c>
      <c r="C317" s="28">
        <v>44560</v>
      </c>
      <c r="D317" s="29" t="s">
        <v>1278</v>
      </c>
      <c r="E317" s="30">
        <v>12991620018</v>
      </c>
      <c r="F317" s="31" t="s">
        <v>11</v>
      </c>
      <c r="G317" s="31" t="s">
        <v>1279</v>
      </c>
      <c r="H317" s="77" t="s">
        <v>2218</v>
      </c>
      <c r="I317" s="31">
        <f>VLOOKUP(H317,PACOTES!B:E,4,FALSE)</f>
        <v>8</v>
      </c>
      <c r="J317" s="77" t="s">
        <v>419</v>
      </c>
      <c r="K317" s="32">
        <v>2341.84</v>
      </c>
      <c r="L317" s="32">
        <v>2341.84</v>
      </c>
      <c r="M317" s="108">
        <v>0</v>
      </c>
      <c r="N317" s="32"/>
      <c r="O317" s="32"/>
      <c r="P317" s="32"/>
    </row>
    <row r="318" spans="1:16" s="12" customFormat="1">
      <c r="A318" s="57">
        <v>490</v>
      </c>
      <c r="B318" s="37">
        <v>44570</v>
      </c>
      <c r="C318" s="37">
        <v>44578</v>
      </c>
      <c r="D318" s="29" t="s">
        <v>1350</v>
      </c>
      <c r="E318" s="35">
        <v>31991655811</v>
      </c>
      <c r="F318" s="31" t="s">
        <v>10</v>
      </c>
      <c r="G318" s="31" t="s">
        <v>10</v>
      </c>
      <c r="H318" s="77" t="s">
        <v>2218</v>
      </c>
      <c r="I318" s="31">
        <f>VLOOKUP(H318,PACOTES!B:E,4,FALSE)</f>
        <v>8</v>
      </c>
      <c r="J318" s="77" t="s">
        <v>419</v>
      </c>
      <c r="K318" s="32">
        <v>3225.6</v>
      </c>
      <c r="L318" s="32">
        <v>3225.6</v>
      </c>
      <c r="M318" s="108">
        <v>0</v>
      </c>
      <c r="N318" s="32"/>
      <c r="O318" s="32"/>
      <c r="P318" s="32"/>
    </row>
    <row r="319" spans="1:16">
      <c r="A319" s="57">
        <v>100</v>
      </c>
      <c r="B319" s="37">
        <v>44573</v>
      </c>
      <c r="C319" s="28">
        <v>44552</v>
      </c>
      <c r="D319" s="31" t="s">
        <v>1333</v>
      </c>
      <c r="E319" s="30">
        <v>21970055655</v>
      </c>
      <c r="F319" s="31" t="s">
        <v>10</v>
      </c>
      <c r="G319" s="77" t="s">
        <v>2234</v>
      </c>
      <c r="H319" s="77" t="s">
        <v>2218</v>
      </c>
      <c r="I319" s="31">
        <f>VLOOKUP(H319,PACOTES!B:E,4,FALSE)</f>
        <v>8</v>
      </c>
      <c r="J319" s="77" t="s">
        <v>134</v>
      </c>
      <c r="K319" s="32">
        <v>3705</v>
      </c>
      <c r="L319" s="32">
        <v>3705</v>
      </c>
      <c r="M319" s="108">
        <v>0</v>
      </c>
      <c r="N319" s="32"/>
      <c r="O319" s="32"/>
      <c r="P319" s="32"/>
    </row>
    <row r="320" spans="1:16">
      <c r="A320" s="57">
        <v>291</v>
      </c>
      <c r="B320" s="37">
        <v>44573</v>
      </c>
      <c r="C320" s="37">
        <v>44573</v>
      </c>
      <c r="D320" s="29" t="s">
        <v>1916</v>
      </c>
      <c r="E320" s="30">
        <v>21988616193</v>
      </c>
      <c r="F320" s="31" t="s">
        <v>11</v>
      </c>
      <c r="G320" s="31" t="s">
        <v>1917</v>
      </c>
      <c r="H320" s="77" t="s">
        <v>2218</v>
      </c>
      <c r="I320" s="31">
        <f>VLOOKUP(H320,PACOTES!B:E,4,FALSE)</f>
        <v>8</v>
      </c>
      <c r="J320" s="77" t="s">
        <v>419</v>
      </c>
      <c r="K320" s="32">
        <v>2203.73</v>
      </c>
      <c r="L320" s="32">
        <v>2203.73</v>
      </c>
      <c r="M320" s="108">
        <v>0</v>
      </c>
      <c r="N320" s="32"/>
      <c r="O320" s="32"/>
      <c r="P320" s="32"/>
    </row>
    <row r="321" spans="1:16">
      <c r="A321" s="57">
        <v>53</v>
      </c>
      <c r="B321" s="37">
        <v>44581</v>
      </c>
      <c r="C321" s="28">
        <v>44581</v>
      </c>
      <c r="D321" s="29" t="s">
        <v>1400</v>
      </c>
      <c r="E321" s="30">
        <v>21965023838</v>
      </c>
      <c r="F321" s="31" t="s">
        <v>7</v>
      </c>
      <c r="G321" s="31" t="s">
        <v>1407</v>
      </c>
      <c r="H321" s="77" t="s">
        <v>2214</v>
      </c>
      <c r="I321" s="31"/>
      <c r="J321" s="77" t="s">
        <v>2214</v>
      </c>
      <c r="K321" s="32">
        <v>2600</v>
      </c>
      <c r="L321" s="32">
        <v>2600</v>
      </c>
      <c r="M321" s="108">
        <v>0</v>
      </c>
      <c r="N321" s="104" t="s">
        <v>2214</v>
      </c>
      <c r="O321" s="32"/>
      <c r="P321" s="32"/>
    </row>
    <row r="322" spans="1:16">
      <c r="A322" s="57">
        <v>131</v>
      </c>
      <c r="B322" s="37">
        <v>44581</v>
      </c>
      <c r="C322" s="28">
        <v>44589</v>
      </c>
      <c r="D322" s="29" t="s">
        <v>1634</v>
      </c>
      <c r="E322" s="30">
        <v>21972138290</v>
      </c>
      <c r="F322" s="31" t="s">
        <v>10</v>
      </c>
      <c r="G322" s="31" t="s">
        <v>1567</v>
      </c>
      <c r="H322" s="77" t="s">
        <v>2221</v>
      </c>
      <c r="I322" s="31">
        <f>VLOOKUP(H322,PACOTES!B:E,4,FALSE)</f>
        <v>5</v>
      </c>
      <c r="J322" s="77" t="s">
        <v>134</v>
      </c>
      <c r="K322" s="32">
        <v>3690.74</v>
      </c>
      <c r="L322" s="32">
        <v>3690.74</v>
      </c>
      <c r="M322" s="108">
        <v>0</v>
      </c>
      <c r="N322" s="32"/>
      <c r="O322" s="32"/>
      <c r="P322" s="32"/>
    </row>
    <row r="323" spans="1:16">
      <c r="A323" s="57">
        <v>15</v>
      </c>
      <c r="B323" s="37">
        <v>44582</v>
      </c>
      <c r="C323" s="37">
        <v>44582</v>
      </c>
      <c r="D323" s="29" t="s">
        <v>1238</v>
      </c>
      <c r="E323" s="30">
        <v>21964162836</v>
      </c>
      <c r="F323" s="31" t="s">
        <v>10</v>
      </c>
      <c r="G323" s="31" t="s">
        <v>1239</v>
      </c>
      <c r="H323" s="77" t="s">
        <v>2221</v>
      </c>
      <c r="I323" s="31">
        <f>VLOOKUP(H323,PACOTES!B:E,4,FALSE)</f>
        <v>5</v>
      </c>
      <c r="J323" s="77" t="s">
        <v>134</v>
      </c>
      <c r="K323" s="32">
        <v>3704.7</v>
      </c>
      <c r="L323" s="32">
        <v>3704.7</v>
      </c>
      <c r="M323" s="108">
        <v>0</v>
      </c>
      <c r="N323" s="32"/>
      <c r="O323" s="32"/>
      <c r="P323" s="32"/>
    </row>
    <row r="324" spans="1:16">
      <c r="A324" s="57">
        <v>404</v>
      </c>
      <c r="B324" s="37">
        <v>44582</v>
      </c>
      <c r="C324" s="28">
        <v>44554</v>
      </c>
      <c r="D324" s="31" t="s">
        <v>2074</v>
      </c>
      <c r="E324" s="30">
        <v>21999875566</v>
      </c>
      <c r="F324" s="31" t="s">
        <v>10</v>
      </c>
      <c r="G324" s="31" t="s">
        <v>1567</v>
      </c>
      <c r="H324" s="77" t="s">
        <v>2218</v>
      </c>
      <c r="I324" s="31">
        <f>VLOOKUP(H324,PACOTES!B:E,4,FALSE)</f>
        <v>8</v>
      </c>
      <c r="J324" s="77" t="s">
        <v>134</v>
      </c>
      <c r="K324" s="32">
        <v>3700</v>
      </c>
      <c r="L324" s="32">
        <v>3700</v>
      </c>
      <c r="M324" s="108">
        <v>0</v>
      </c>
      <c r="N324" s="32"/>
      <c r="O324" s="32"/>
      <c r="P324" s="32"/>
    </row>
    <row r="325" spans="1:16">
      <c r="A325" s="57">
        <v>546</v>
      </c>
      <c r="B325" s="37">
        <v>44588</v>
      </c>
      <c r="C325" s="28">
        <v>44596</v>
      </c>
      <c r="D325" s="29" t="s">
        <v>1562</v>
      </c>
      <c r="E325" s="35">
        <v>81986327761</v>
      </c>
      <c r="F325" s="31" t="s">
        <v>11</v>
      </c>
      <c r="G325" s="31" t="s">
        <v>1361</v>
      </c>
      <c r="H325" s="77" t="s">
        <v>2218</v>
      </c>
      <c r="I325" s="31">
        <f>VLOOKUP(H325,PACOTES!B:E,4,FALSE)</f>
        <v>8</v>
      </c>
      <c r="J325" s="77" t="s">
        <v>419</v>
      </c>
      <c r="K325" s="32">
        <v>2100</v>
      </c>
      <c r="L325" s="32">
        <v>2100</v>
      </c>
      <c r="M325" s="108">
        <v>0</v>
      </c>
      <c r="N325" s="32"/>
      <c r="O325" s="32"/>
      <c r="P325" s="32"/>
    </row>
    <row r="326" spans="1:16">
      <c r="A326" s="57" t="s">
        <v>13</v>
      </c>
      <c r="B326" s="37">
        <v>44595</v>
      </c>
      <c r="C326" s="28">
        <v>44599</v>
      </c>
      <c r="D326" s="29" t="s">
        <v>2171</v>
      </c>
      <c r="E326" s="30" t="s">
        <v>13</v>
      </c>
      <c r="F326" s="31" t="s">
        <v>11</v>
      </c>
      <c r="G326" s="31" t="s">
        <v>2172</v>
      </c>
      <c r="H326" s="77" t="s">
        <v>2218</v>
      </c>
      <c r="I326" s="31">
        <f>VLOOKUP(H326,PACOTES!B:E,4,FALSE)</f>
        <v>8</v>
      </c>
      <c r="J326" s="77" t="s">
        <v>419</v>
      </c>
      <c r="K326" s="32">
        <v>2435.9899999999998</v>
      </c>
      <c r="L326" s="32">
        <v>2435.9899999999998</v>
      </c>
      <c r="M326" s="108">
        <v>0</v>
      </c>
      <c r="N326" s="32"/>
      <c r="O326" s="32"/>
      <c r="P326" s="32"/>
    </row>
    <row r="327" spans="1:16">
      <c r="A327" s="57">
        <v>418</v>
      </c>
      <c r="B327" s="37">
        <v>44608</v>
      </c>
      <c r="C327" s="28">
        <v>44608</v>
      </c>
      <c r="D327" s="29" t="s">
        <v>2093</v>
      </c>
      <c r="E327" s="30">
        <v>22996063634</v>
      </c>
      <c r="F327" s="31" t="s">
        <v>10</v>
      </c>
      <c r="G327" s="31" t="s">
        <v>2094</v>
      </c>
      <c r="H327" s="77" t="s">
        <v>2218</v>
      </c>
      <c r="I327" s="31">
        <f>VLOOKUP(H327,PACOTES!B:E,4,FALSE)</f>
        <v>8</v>
      </c>
      <c r="J327" s="77" t="s">
        <v>134</v>
      </c>
      <c r="K327" s="32">
        <v>4220</v>
      </c>
      <c r="L327" s="32">
        <v>4220</v>
      </c>
      <c r="M327" s="108">
        <v>0</v>
      </c>
      <c r="N327" s="32"/>
      <c r="O327" s="32"/>
      <c r="P327" s="32"/>
    </row>
    <row r="328" spans="1:16">
      <c r="A328" s="57">
        <v>47</v>
      </c>
      <c r="B328" s="37">
        <v>44613</v>
      </c>
      <c r="C328" s="28">
        <v>44613</v>
      </c>
      <c r="D328" s="29" t="s">
        <v>1372</v>
      </c>
      <c r="E328" s="30">
        <v>21964500550</v>
      </c>
      <c r="F328" s="31" t="s">
        <v>10</v>
      </c>
      <c r="G328" s="77" t="s">
        <v>2243</v>
      </c>
      <c r="H328" s="77" t="s">
        <v>2226</v>
      </c>
      <c r="I328" s="31">
        <f>VLOOKUP(H328,PACOTES!B:E,4,FALSE)</f>
        <v>0</v>
      </c>
      <c r="J328" s="77" t="s">
        <v>134</v>
      </c>
      <c r="K328" s="32">
        <v>3200</v>
      </c>
      <c r="L328" s="32">
        <v>3200</v>
      </c>
      <c r="M328" s="108">
        <v>0</v>
      </c>
      <c r="N328" s="104" t="s">
        <v>2242</v>
      </c>
      <c r="O328" s="104" t="s">
        <v>135</v>
      </c>
      <c r="P328" s="104" t="s">
        <v>135</v>
      </c>
    </row>
    <row r="329" spans="1:16">
      <c r="A329" s="57">
        <v>49</v>
      </c>
      <c r="B329" s="37">
        <v>44613</v>
      </c>
      <c r="C329" s="28">
        <v>44613</v>
      </c>
      <c r="D329" s="29" t="s">
        <v>1387</v>
      </c>
      <c r="E329" s="30">
        <v>21964909918</v>
      </c>
      <c r="F329" s="31" t="s">
        <v>11</v>
      </c>
      <c r="G329" s="31" t="s">
        <v>1388</v>
      </c>
      <c r="H329" s="77" t="s">
        <v>2218</v>
      </c>
      <c r="I329" s="31">
        <f>VLOOKUP(H329,PACOTES!B:E,4,FALSE)</f>
        <v>8</v>
      </c>
      <c r="J329" s="77" t="s">
        <v>134</v>
      </c>
      <c r="K329" s="32">
        <v>2500</v>
      </c>
      <c r="L329" s="32">
        <v>2500</v>
      </c>
      <c r="M329" s="108">
        <v>0</v>
      </c>
      <c r="N329" s="32"/>
      <c r="O329" s="32"/>
      <c r="P329" s="32"/>
    </row>
    <row r="330" spans="1:16">
      <c r="A330" s="57">
        <v>528</v>
      </c>
      <c r="B330" s="37">
        <v>44613</v>
      </c>
      <c r="C330" s="28">
        <v>44613</v>
      </c>
      <c r="D330" s="29" t="s">
        <v>1499</v>
      </c>
      <c r="E330" s="30">
        <v>61996763868</v>
      </c>
      <c r="F330" s="31" t="s">
        <v>11</v>
      </c>
      <c r="G330" s="31" t="s">
        <v>1500</v>
      </c>
      <c r="H330" s="77" t="s">
        <v>2218</v>
      </c>
      <c r="I330" s="31">
        <f>VLOOKUP(H330,PACOTES!B:E,4,FALSE)</f>
        <v>8</v>
      </c>
      <c r="J330" s="77" t="s">
        <v>419</v>
      </c>
      <c r="K330" s="32">
        <v>2207.3200000000002</v>
      </c>
      <c r="L330" s="32">
        <v>2207.3200000000002</v>
      </c>
      <c r="M330" s="108">
        <v>0</v>
      </c>
      <c r="N330" s="32"/>
      <c r="O330" s="32"/>
      <c r="P330" s="32"/>
    </row>
    <row r="331" spans="1:16">
      <c r="A331" s="57">
        <v>225</v>
      </c>
      <c r="B331" s="37">
        <v>44613</v>
      </c>
      <c r="C331" s="28">
        <v>44613</v>
      </c>
      <c r="D331" s="29" t="s">
        <v>1793</v>
      </c>
      <c r="E331" s="30">
        <v>21982326297</v>
      </c>
      <c r="F331" s="31" t="s">
        <v>10</v>
      </c>
      <c r="G331" s="31" t="s">
        <v>1794</v>
      </c>
      <c r="H331" s="77" t="s">
        <v>2218</v>
      </c>
      <c r="I331" s="31">
        <f>VLOOKUP(H331,PACOTES!B:E,4,FALSE)</f>
        <v>8</v>
      </c>
      <c r="J331" s="77" t="s">
        <v>419</v>
      </c>
      <c r="K331" s="32">
        <v>3356.27</v>
      </c>
      <c r="L331" s="32">
        <v>3356.27</v>
      </c>
      <c r="M331" s="108">
        <v>0</v>
      </c>
      <c r="N331" s="32"/>
      <c r="O331" s="32"/>
      <c r="P331" s="32"/>
    </row>
    <row r="332" spans="1:16">
      <c r="A332" s="57">
        <v>340</v>
      </c>
      <c r="B332" s="37">
        <v>44613</v>
      </c>
      <c r="C332" s="28">
        <v>44613</v>
      </c>
      <c r="D332" s="29" t="s">
        <v>1969</v>
      </c>
      <c r="E332" s="31">
        <v>21994761737</v>
      </c>
      <c r="F332" s="31" t="s">
        <v>11</v>
      </c>
      <c r="G332" s="31" t="s">
        <v>1767</v>
      </c>
      <c r="H332" s="77" t="s">
        <v>2220</v>
      </c>
      <c r="I332" s="31">
        <f>VLOOKUP(H332,PACOTES!B:E,4,FALSE)</f>
        <v>6</v>
      </c>
      <c r="J332" s="77" t="s">
        <v>134</v>
      </c>
      <c r="K332" s="32">
        <v>2500</v>
      </c>
      <c r="L332" s="32">
        <v>2500</v>
      </c>
      <c r="M332" s="108">
        <v>0</v>
      </c>
      <c r="N332" s="32"/>
      <c r="O332" s="32"/>
      <c r="P332" s="32"/>
    </row>
    <row r="333" spans="1:16">
      <c r="A333" s="57">
        <v>340</v>
      </c>
      <c r="B333" s="37">
        <v>44615</v>
      </c>
      <c r="C333" s="28">
        <v>44615</v>
      </c>
      <c r="D333" s="29" t="s">
        <v>1992</v>
      </c>
      <c r="E333" s="31">
        <v>21994761737</v>
      </c>
      <c r="F333" s="31" t="s">
        <v>11</v>
      </c>
      <c r="G333" s="31" t="s">
        <v>1235</v>
      </c>
      <c r="H333" s="77" t="s">
        <v>2220</v>
      </c>
      <c r="I333" s="31">
        <f>VLOOKUP(H333,PACOTES!B:E,4,FALSE)</f>
        <v>6</v>
      </c>
      <c r="J333" s="77" t="s">
        <v>134</v>
      </c>
      <c r="K333" s="32">
        <v>2683</v>
      </c>
      <c r="L333" s="32">
        <v>2683</v>
      </c>
      <c r="M333" s="108">
        <v>0</v>
      </c>
      <c r="N333" s="32"/>
      <c r="O333" s="32"/>
      <c r="P333" s="32"/>
    </row>
    <row r="334" spans="1:16">
      <c r="A334" s="57">
        <v>2</v>
      </c>
      <c r="B334" s="37">
        <v>44629</v>
      </c>
      <c r="C334" s="28">
        <v>44629</v>
      </c>
      <c r="D334" s="29" t="s">
        <v>1186</v>
      </c>
      <c r="E334" s="31">
        <v>21960151402</v>
      </c>
      <c r="F334" s="31" t="s">
        <v>9</v>
      </c>
      <c r="G334" s="31" t="s">
        <v>1187</v>
      </c>
      <c r="H334" s="77" t="s">
        <v>2220</v>
      </c>
      <c r="I334" s="31">
        <f>VLOOKUP(H334,PACOTES!B:E,4,FALSE)</f>
        <v>6</v>
      </c>
      <c r="J334" s="77" t="s">
        <v>134</v>
      </c>
      <c r="K334" s="32">
        <v>5000</v>
      </c>
      <c r="L334" s="32">
        <v>5000</v>
      </c>
      <c r="M334" s="108">
        <v>0</v>
      </c>
      <c r="N334" s="32"/>
      <c r="O334" s="32"/>
      <c r="P334" s="32"/>
    </row>
    <row r="335" spans="1:16">
      <c r="A335" s="57" t="s">
        <v>2214</v>
      </c>
      <c r="B335" s="37">
        <v>44630</v>
      </c>
      <c r="C335" s="37">
        <v>44643</v>
      </c>
      <c r="D335" s="29" t="s">
        <v>2173</v>
      </c>
      <c r="E335" s="30" t="s">
        <v>13</v>
      </c>
      <c r="F335" s="31" t="s">
        <v>11</v>
      </c>
      <c r="G335" s="31" t="s">
        <v>1361</v>
      </c>
      <c r="H335" s="77" t="s">
        <v>2218</v>
      </c>
      <c r="I335" s="31">
        <f>VLOOKUP(H335,PACOTES!B:E,4,FALSE)</f>
        <v>8</v>
      </c>
      <c r="J335" s="77" t="s">
        <v>419</v>
      </c>
      <c r="K335" s="32">
        <v>2100</v>
      </c>
      <c r="L335" s="32">
        <v>2100</v>
      </c>
      <c r="M335" s="108">
        <v>0</v>
      </c>
      <c r="N335" s="32"/>
      <c r="O335" s="32"/>
      <c r="P335" s="32"/>
    </row>
    <row r="336" spans="1:16">
      <c r="A336" s="57" t="s">
        <v>13</v>
      </c>
      <c r="B336" s="37">
        <v>44632</v>
      </c>
      <c r="C336" s="28">
        <v>44636</v>
      </c>
      <c r="D336" s="29" t="s">
        <v>1989</v>
      </c>
      <c r="E336" s="30" t="s">
        <v>13</v>
      </c>
      <c r="F336" s="31" t="s">
        <v>11</v>
      </c>
      <c r="G336" s="31" t="s">
        <v>1361</v>
      </c>
      <c r="H336" s="77" t="s">
        <v>2218</v>
      </c>
      <c r="I336" s="31">
        <f>VLOOKUP(H336,PACOTES!B:E,4,FALSE)</f>
        <v>8</v>
      </c>
      <c r="J336" s="77" t="s">
        <v>419</v>
      </c>
      <c r="K336" s="32">
        <v>2100</v>
      </c>
      <c r="L336" s="32">
        <v>2100</v>
      </c>
      <c r="M336" s="108">
        <v>0</v>
      </c>
      <c r="N336" s="32"/>
      <c r="O336" s="32"/>
      <c r="P336" s="32"/>
    </row>
    <row r="337" spans="1:16">
      <c r="A337" s="57">
        <v>539</v>
      </c>
      <c r="B337" s="37">
        <v>44634</v>
      </c>
      <c r="C337" s="37">
        <v>44643</v>
      </c>
      <c r="D337" s="29" t="s">
        <v>1538</v>
      </c>
      <c r="E337" s="30">
        <v>67999317628</v>
      </c>
      <c r="F337" s="31" t="s">
        <v>11</v>
      </c>
      <c r="G337" s="31" t="s">
        <v>1426</v>
      </c>
      <c r="H337" s="77" t="s">
        <v>2221</v>
      </c>
      <c r="I337" s="31">
        <f>VLOOKUP(H337,PACOTES!B:E,4,FALSE)</f>
        <v>5</v>
      </c>
      <c r="J337" s="77" t="s">
        <v>419</v>
      </c>
      <c r="K337" s="32">
        <v>2100</v>
      </c>
      <c r="L337" s="32">
        <v>2100</v>
      </c>
      <c r="M337" s="108">
        <v>0</v>
      </c>
      <c r="N337" s="32"/>
      <c r="O337" s="32"/>
      <c r="P337" s="32"/>
    </row>
    <row r="338" spans="1:16">
      <c r="A338" s="57">
        <v>54</v>
      </c>
      <c r="B338" s="37">
        <v>44635</v>
      </c>
      <c r="C338" s="37">
        <v>44635</v>
      </c>
      <c r="D338" s="29" t="s">
        <v>1414</v>
      </c>
      <c r="E338" s="30">
        <v>21965205706</v>
      </c>
      <c r="F338" s="31" t="s">
        <v>10</v>
      </c>
      <c r="G338" s="31" t="s">
        <v>1415</v>
      </c>
      <c r="H338" s="77" t="s">
        <v>2221</v>
      </c>
      <c r="I338" s="31">
        <f>VLOOKUP(H338,PACOTES!B:E,4,FALSE)</f>
        <v>5</v>
      </c>
      <c r="J338" s="77" t="s">
        <v>134</v>
      </c>
      <c r="K338" s="32">
        <v>6192.27</v>
      </c>
      <c r="L338" s="32">
        <v>6192.27</v>
      </c>
      <c r="M338" s="108">
        <v>0</v>
      </c>
      <c r="N338" s="32"/>
      <c r="O338" s="32"/>
      <c r="P338" s="32"/>
    </row>
    <row r="339" spans="1:16">
      <c r="A339" s="57">
        <v>82</v>
      </c>
      <c r="B339" s="37">
        <v>44638</v>
      </c>
      <c r="C339" s="28">
        <v>44650</v>
      </c>
      <c r="D339" s="29" t="s">
        <v>1510</v>
      </c>
      <c r="E339" s="30">
        <v>21968888315</v>
      </c>
      <c r="F339" s="31" t="s">
        <v>11</v>
      </c>
      <c r="G339" s="31" t="s">
        <v>1511</v>
      </c>
      <c r="H339" s="77" t="s">
        <v>2220</v>
      </c>
      <c r="I339" s="31">
        <f>VLOOKUP(H339,PACOTES!B:E,4,FALSE)</f>
        <v>6</v>
      </c>
      <c r="J339" s="77" t="s">
        <v>419</v>
      </c>
      <c r="K339" s="32">
        <v>2170</v>
      </c>
      <c r="L339" s="32">
        <v>2170</v>
      </c>
      <c r="M339" s="108">
        <v>0</v>
      </c>
      <c r="N339" s="32"/>
      <c r="O339" s="32"/>
      <c r="P339" s="32"/>
    </row>
    <row r="340" spans="1:16">
      <c r="A340" s="57">
        <v>496</v>
      </c>
      <c r="B340" s="37">
        <v>44642</v>
      </c>
      <c r="C340" s="28">
        <v>44651</v>
      </c>
      <c r="D340" s="29" t="s">
        <v>1381</v>
      </c>
      <c r="E340" s="30">
        <v>32998430405</v>
      </c>
      <c r="F340" s="31" t="s">
        <v>11</v>
      </c>
      <c r="G340" s="31" t="s">
        <v>1361</v>
      </c>
      <c r="H340" s="77" t="s">
        <v>2218</v>
      </c>
      <c r="I340" s="31">
        <f>VLOOKUP(H340,PACOTES!B:E,4,FALSE)</f>
        <v>8</v>
      </c>
      <c r="J340" s="77" t="s">
        <v>419</v>
      </c>
      <c r="K340" s="32">
        <v>2100</v>
      </c>
      <c r="L340" s="32">
        <v>2100</v>
      </c>
      <c r="M340" s="108">
        <v>0</v>
      </c>
      <c r="N340" s="32"/>
      <c r="O340" s="32"/>
      <c r="P340" s="32"/>
    </row>
    <row r="341" spans="1:16">
      <c r="A341" s="57">
        <v>532</v>
      </c>
      <c r="B341" s="37">
        <v>44642</v>
      </c>
      <c r="C341" s="28">
        <v>44645</v>
      </c>
      <c r="D341" s="29" t="s">
        <v>1432</v>
      </c>
      <c r="E341" s="30">
        <v>62998680152</v>
      </c>
      <c r="F341" s="31" t="s">
        <v>11</v>
      </c>
      <c r="G341" s="31" t="s">
        <v>1517</v>
      </c>
      <c r="H341" s="77" t="s">
        <v>2218</v>
      </c>
      <c r="I341" s="31">
        <f>VLOOKUP(H341,PACOTES!B:E,4,FALSE)</f>
        <v>8</v>
      </c>
      <c r="J341" s="77" t="s">
        <v>419</v>
      </c>
      <c r="K341" s="32">
        <v>2172.37</v>
      </c>
      <c r="L341" s="32">
        <v>2172.37</v>
      </c>
      <c r="M341" s="108">
        <v>0</v>
      </c>
      <c r="N341" s="32"/>
      <c r="O341" s="32"/>
      <c r="P341" s="32"/>
    </row>
    <row r="342" spans="1:16">
      <c r="A342" s="57">
        <v>517</v>
      </c>
      <c r="B342" s="37">
        <v>44643</v>
      </c>
      <c r="C342" s="28">
        <v>44646</v>
      </c>
      <c r="D342" s="29" t="s">
        <v>1462</v>
      </c>
      <c r="E342" s="30">
        <v>51995062099</v>
      </c>
      <c r="F342" s="31" t="s">
        <v>11</v>
      </c>
      <c r="G342" s="31" t="s">
        <v>1463</v>
      </c>
      <c r="H342" s="77" t="s">
        <v>2218</v>
      </c>
      <c r="I342" s="31">
        <f>VLOOKUP(H342,PACOTES!B:E,4,FALSE)</f>
        <v>8</v>
      </c>
      <c r="J342" s="77" t="s">
        <v>419</v>
      </c>
      <c r="K342" s="32">
        <v>2265.29</v>
      </c>
      <c r="L342" s="32">
        <v>2265.29</v>
      </c>
      <c r="M342" s="108">
        <v>0</v>
      </c>
      <c r="N342" s="32"/>
      <c r="O342" s="32"/>
      <c r="P342" s="32"/>
    </row>
    <row r="343" spans="1:16">
      <c r="A343" s="57">
        <v>297</v>
      </c>
      <c r="B343" s="37">
        <v>44644</v>
      </c>
      <c r="C343" s="28">
        <v>44649</v>
      </c>
      <c r="D343" s="29" t="s">
        <v>1925</v>
      </c>
      <c r="E343" s="30">
        <v>21989330532</v>
      </c>
      <c r="F343" s="31" t="s">
        <v>11</v>
      </c>
      <c r="G343" s="31" t="s">
        <v>1926</v>
      </c>
      <c r="H343" s="77" t="s">
        <v>2225</v>
      </c>
      <c r="I343" s="31">
        <f>VLOOKUP(H343,PACOTES!B:E,4,FALSE)</f>
        <v>1</v>
      </c>
      <c r="J343" s="77" t="s">
        <v>419</v>
      </c>
      <c r="K343" s="32">
        <v>2189.84</v>
      </c>
      <c r="L343" s="32">
        <v>2189.84</v>
      </c>
      <c r="M343" s="108">
        <v>0</v>
      </c>
      <c r="N343" s="104" t="s">
        <v>2247</v>
      </c>
      <c r="O343" s="104" t="s">
        <v>135</v>
      </c>
      <c r="P343" s="104" t="s">
        <v>135</v>
      </c>
    </row>
    <row r="344" spans="1:16">
      <c r="A344" s="57">
        <v>489</v>
      </c>
      <c r="B344" s="37">
        <v>44650</v>
      </c>
      <c r="C344" s="28">
        <v>44653</v>
      </c>
      <c r="D344" s="29" t="s">
        <v>1346</v>
      </c>
      <c r="E344" s="30">
        <v>31991227644</v>
      </c>
      <c r="F344" s="31" t="s">
        <v>11</v>
      </c>
      <c r="G344" s="31" t="s">
        <v>1347</v>
      </c>
      <c r="H344" s="77" t="s">
        <v>2221</v>
      </c>
      <c r="I344" s="31">
        <f>VLOOKUP(H344,PACOTES!B:E,4,FALSE)</f>
        <v>5</v>
      </c>
      <c r="J344" s="77" t="s">
        <v>419</v>
      </c>
      <c r="K344" s="32">
        <v>2147.9</v>
      </c>
      <c r="L344" s="32">
        <v>2147.9</v>
      </c>
      <c r="M344" s="108">
        <v>0</v>
      </c>
      <c r="N344" s="32"/>
      <c r="O344" s="32"/>
      <c r="P344" s="32"/>
    </row>
    <row r="345" spans="1:16">
      <c r="A345" s="57">
        <v>190</v>
      </c>
      <c r="B345" s="37">
        <v>44655</v>
      </c>
      <c r="C345" s="28">
        <v>44658</v>
      </c>
      <c r="D345" s="29" t="s">
        <v>1734</v>
      </c>
      <c r="E345" s="30">
        <v>21980706126</v>
      </c>
      <c r="F345" s="31" t="s">
        <v>10</v>
      </c>
      <c r="G345" s="31" t="s">
        <v>1735</v>
      </c>
      <c r="H345" s="77" t="s">
        <v>2218</v>
      </c>
      <c r="I345" s="31">
        <f>VLOOKUP(H345,PACOTES!B:E,4,FALSE)</f>
        <v>8</v>
      </c>
      <c r="J345" s="77" t="s">
        <v>134</v>
      </c>
      <c r="K345" s="32">
        <v>4150</v>
      </c>
      <c r="L345" s="32">
        <v>4150</v>
      </c>
      <c r="M345" s="108">
        <v>0</v>
      </c>
      <c r="N345" s="32"/>
      <c r="O345" s="32"/>
      <c r="P345" s="32"/>
    </row>
    <row r="346" spans="1:16">
      <c r="A346" s="57" t="s">
        <v>13</v>
      </c>
      <c r="B346" s="37">
        <v>44656</v>
      </c>
      <c r="C346" s="28">
        <v>44656</v>
      </c>
      <c r="D346" s="29" t="s">
        <v>2174</v>
      </c>
      <c r="E346" s="30" t="s">
        <v>13</v>
      </c>
      <c r="F346" s="31" t="s">
        <v>11</v>
      </c>
      <c r="G346" s="31" t="s">
        <v>1361</v>
      </c>
      <c r="H346" s="77" t="s">
        <v>2218</v>
      </c>
      <c r="I346" s="31">
        <f>VLOOKUP(H346,PACOTES!B:E,4,FALSE)</f>
        <v>8</v>
      </c>
      <c r="J346" s="77" t="s">
        <v>419</v>
      </c>
      <c r="K346" s="32">
        <v>2100</v>
      </c>
      <c r="L346" s="32">
        <v>2100</v>
      </c>
      <c r="M346" s="108">
        <v>0</v>
      </c>
      <c r="N346" s="32"/>
      <c r="O346" s="32"/>
      <c r="P346" s="32"/>
    </row>
    <row r="347" spans="1:16">
      <c r="A347" s="57">
        <v>464</v>
      </c>
      <c r="B347" s="37">
        <v>44660</v>
      </c>
      <c r="C347" s="28">
        <v>44670</v>
      </c>
      <c r="D347" s="29" t="s">
        <v>1240</v>
      </c>
      <c r="E347" s="30">
        <v>11982048096</v>
      </c>
      <c r="F347" s="31" t="s">
        <v>11</v>
      </c>
      <c r="G347" s="31" t="s">
        <v>1241</v>
      </c>
      <c r="H347" s="77" t="s">
        <v>2218</v>
      </c>
      <c r="I347" s="31">
        <f>VLOOKUP(H347,PACOTES!B:E,4,FALSE)</f>
        <v>8</v>
      </c>
      <c r="J347" s="77" t="s">
        <v>419</v>
      </c>
      <c r="K347" s="32">
        <v>2100</v>
      </c>
      <c r="L347" s="32">
        <v>2100</v>
      </c>
      <c r="M347" s="108">
        <v>0</v>
      </c>
      <c r="N347" s="32"/>
      <c r="O347" s="32"/>
      <c r="P347" s="32"/>
    </row>
    <row r="348" spans="1:16">
      <c r="A348" s="57">
        <v>95</v>
      </c>
      <c r="B348" s="37">
        <v>44660</v>
      </c>
      <c r="C348" s="28">
        <v>44660</v>
      </c>
      <c r="D348" s="29" t="s">
        <v>1199</v>
      </c>
      <c r="E348" s="30">
        <v>21969914181</v>
      </c>
      <c r="F348" s="31" t="s">
        <v>10</v>
      </c>
      <c r="G348" s="31" t="s">
        <v>1553</v>
      </c>
      <c r="H348" s="77" t="s">
        <v>2218</v>
      </c>
      <c r="I348" s="31">
        <f>VLOOKUP(H348,PACOTES!B:E,4,FALSE)</f>
        <v>8</v>
      </c>
      <c r="J348" s="77" t="s">
        <v>419</v>
      </c>
      <c r="K348" s="32">
        <v>3450</v>
      </c>
      <c r="L348" s="32">
        <v>3450</v>
      </c>
      <c r="M348" s="108">
        <v>0</v>
      </c>
      <c r="N348" s="32"/>
      <c r="O348" s="32"/>
      <c r="P348" s="32"/>
    </row>
    <row r="349" spans="1:16">
      <c r="A349" s="57">
        <v>336</v>
      </c>
      <c r="B349" s="37">
        <v>44662</v>
      </c>
      <c r="C349" s="28">
        <v>44662</v>
      </c>
      <c r="D349" s="29" t="s">
        <v>1986</v>
      </c>
      <c r="E349" s="30">
        <v>21994259242</v>
      </c>
      <c r="F349" s="31" t="s">
        <v>11</v>
      </c>
      <c r="G349" s="31" t="s">
        <v>1987</v>
      </c>
      <c r="H349" s="77" t="s">
        <v>2218</v>
      </c>
      <c r="I349" s="31">
        <f>VLOOKUP(H349,PACOTES!B:E,4,FALSE)</f>
        <v>8</v>
      </c>
      <c r="J349" s="77" t="s">
        <v>134</v>
      </c>
      <c r="K349" s="32">
        <v>2890</v>
      </c>
      <c r="L349" s="32">
        <v>2890</v>
      </c>
      <c r="M349" s="108">
        <v>0</v>
      </c>
      <c r="N349" s="32"/>
      <c r="O349" s="32"/>
      <c r="P349" s="32"/>
    </row>
    <row r="350" spans="1:16">
      <c r="A350" s="57">
        <v>199</v>
      </c>
      <c r="B350" s="37">
        <v>44676</v>
      </c>
      <c r="C350" s="28">
        <v>44678</v>
      </c>
      <c r="D350" s="29" t="s">
        <v>1751</v>
      </c>
      <c r="E350" s="30">
        <v>21981149764</v>
      </c>
      <c r="F350" s="31" t="s">
        <v>11</v>
      </c>
      <c r="G350" s="31" t="s">
        <v>1752</v>
      </c>
      <c r="H350" s="77" t="s">
        <v>2220</v>
      </c>
      <c r="I350" s="31">
        <f>VLOOKUP(H350,PACOTES!B:E,4,FALSE)</f>
        <v>6</v>
      </c>
      <c r="J350" s="77" t="s">
        <v>419</v>
      </c>
      <c r="K350" s="32">
        <v>2435.9899999999998</v>
      </c>
      <c r="L350" s="32">
        <v>2435.9899999999998</v>
      </c>
      <c r="M350" s="108">
        <v>0</v>
      </c>
      <c r="N350" s="32"/>
      <c r="O350" s="32"/>
      <c r="P350" s="32"/>
    </row>
    <row r="351" spans="1:16">
      <c r="A351" s="57">
        <v>56</v>
      </c>
      <c r="B351" s="37">
        <v>44677</v>
      </c>
      <c r="C351" s="28">
        <v>44677</v>
      </c>
      <c r="D351" s="29" t="s">
        <v>1419</v>
      </c>
      <c r="E351" s="30">
        <v>21965236437</v>
      </c>
      <c r="F351" s="31" t="s">
        <v>11</v>
      </c>
      <c r="G351" s="31" t="s">
        <v>1420</v>
      </c>
      <c r="H351" s="77" t="s">
        <v>2218</v>
      </c>
      <c r="I351" s="31">
        <f>VLOOKUP(H351,PACOTES!B:E,4,FALSE)</f>
        <v>8</v>
      </c>
      <c r="J351" s="77" t="s">
        <v>419</v>
      </c>
      <c r="K351" s="32">
        <v>2350</v>
      </c>
      <c r="L351" s="32">
        <v>2350</v>
      </c>
      <c r="M351" s="108">
        <v>0</v>
      </c>
      <c r="N351" s="32"/>
      <c r="O351" s="32"/>
      <c r="P351" s="32"/>
    </row>
    <row r="352" spans="1:16">
      <c r="A352" s="57">
        <v>218</v>
      </c>
      <c r="B352" s="37">
        <v>44677</v>
      </c>
      <c r="C352" s="28">
        <v>44677</v>
      </c>
      <c r="D352" s="31" t="s">
        <v>1776</v>
      </c>
      <c r="E352" s="30">
        <v>21982103956</v>
      </c>
      <c r="F352" s="31" t="s">
        <v>10</v>
      </c>
      <c r="G352" s="31" t="s">
        <v>1778</v>
      </c>
      <c r="H352" s="77" t="s">
        <v>2221</v>
      </c>
      <c r="I352" s="31">
        <f>VLOOKUP(H352,PACOTES!B:E,4,FALSE)</f>
        <v>5</v>
      </c>
      <c r="J352" s="77" t="s">
        <v>419</v>
      </c>
      <c r="K352" s="32">
        <v>3200</v>
      </c>
      <c r="L352" s="32">
        <v>3200</v>
      </c>
      <c r="M352" s="108">
        <v>0</v>
      </c>
      <c r="N352" s="32"/>
      <c r="O352" s="32"/>
      <c r="P352" s="32"/>
    </row>
    <row r="353" spans="1:16">
      <c r="A353" s="57" t="s">
        <v>13</v>
      </c>
      <c r="B353" s="37">
        <v>44678</v>
      </c>
      <c r="C353" s="28">
        <v>44690</v>
      </c>
      <c r="D353" s="31" t="s">
        <v>2175</v>
      </c>
      <c r="E353" s="30" t="s">
        <v>13</v>
      </c>
      <c r="F353" s="31" t="s">
        <v>11</v>
      </c>
      <c r="G353" s="31" t="s">
        <v>2176</v>
      </c>
      <c r="H353" s="77" t="s">
        <v>2218</v>
      </c>
      <c r="I353" s="31">
        <f>VLOOKUP(H353,PACOTES!B:E,4,FALSE)</f>
        <v>8</v>
      </c>
      <c r="J353" s="77" t="s">
        <v>419</v>
      </c>
      <c r="K353" s="32">
        <v>2099.16</v>
      </c>
      <c r="L353" s="32">
        <v>2099.16</v>
      </c>
      <c r="M353" s="108">
        <v>0</v>
      </c>
      <c r="N353" s="32"/>
      <c r="O353" s="32"/>
      <c r="P353" s="32"/>
    </row>
    <row r="354" spans="1:16">
      <c r="A354" s="57">
        <v>140</v>
      </c>
      <c r="B354" s="37">
        <v>44687</v>
      </c>
      <c r="C354" s="28">
        <v>44687</v>
      </c>
      <c r="D354" s="31" t="s">
        <v>1656</v>
      </c>
      <c r="E354" s="30">
        <v>21973599072</v>
      </c>
      <c r="F354" s="31" t="s">
        <v>10</v>
      </c>
      <c r="G354" s="31" t="s">
        <v>1657</v>
      </c>
      <c r="H354" s="77" t="s">
        <v>2218</v>
      </c>
      <c r="I354" s="31">
        <f>VLOOKUP(H354,PACOTES!B:E,4,FALSE)</f>
        <v>8</v>
      </c>
      <c r="J354" s="77" t="s">
        <v>134</v>
      </c>
      <c r="K354" s="32">
        <v>5200</v>
      </c>
      <c r="L354" s="32">
        <v>5200</v>
      </c>
      <c r="M354" s="108">
        <v>0</v>
      </c>
      <c r="N354" s="32"/>
      <c r="O354" s="32"/>
      <c r="P354" s="32"/>
    </row>
    <row r="355" spans="1:16">
      <c r="A355" s="57" t="s">
        <v>13</v>
      </c>
      <c r="B355" s="37">
        <v>44694</v>
      </c>
      <c r="C355" s="28">
        <v>44694</v>
      </c>
      <c r="D355" s="31" t="s">
        <v>2177</v>
      </c>
      <c r="E355" s="30" t="s">
        <v>13</v>
      </c>
      <c r="F355" s="31" t="s">
        <v>11</v>
      </c>
      <c r="G355" s="31" t="s">
        <v>11</v>
      </c>
      <c r="H355" s="77" t="s">
        <v>2218</v>
      </c>
      <c r="I355" s="31">
        <f>VLOOKUP(H355,PACOTES!B:E,4,FALSE)</f>
        <v>8</v>
      </c>
      <c r="J355" s="77" t="s">
        <v>419</v>
      </c>
      <c r="K355" s="32">
        <v>2099.16</v>
      </c>
      <c r="L355" s="32">
        <v>2099.16</v>
      </c>
      <c r="M355" s="108">
        <v>0</v>
      </c>
      <c r="N355" s="32"/>
      <c r="O355" s="32"/>
      <c r="P355" s="32"/>
    </row>
    <row r="356" spans="1:16">
      <c r="A356" s="57">
        <v>447</v>
      </c>
      <c r="B356" s="37">
        <v>44699</v>
      </c>
      <c r="C356" s="28">
        <v>44699</v>
      </c>
      <c r="D356" s="29" t="s">
        <v>2133</v>
      </c>
      <c r="E356" s="30">
        <v>24999452812</v>
      </c>
      <c r="F356" s="31" t="s">
        <v>11</v>
      </c>
      <c r="G356" s="31" t="s">
        <v>2134</v>
      </c>
      <c r="H356" s="77" t="s">
        <v>2218</v>
      </c>
      <c r="I356" s="31">
        <f>VLOOKUP(H356,PACOTES!B:E,4,FALSE)</f>
        <v>8</v>
      </c>
      <c r="J356" s="77" t="s">
        <v>419</v>
      </c>
      <c r="K356" s="32">
        <v>2300</v>
      </c>
      <c r="L356" s="32">
        <v>2300</v>
      </c>
      <c r="M356" s="108">
        <v>0</v>
      </c>
      <c r="N356" s="32"/>
      <c r="O356" s="32"/>
      <c r="P356" s="32"/>
    </row>
    <row r="357" spans="1:16">
      <c r="A357" s="57" t="s">
        <v>13</v>
      </c>
      <c r="B357" s="37">
        <v>44704</v>
      </c>
      <c r="C357" s="28">
        <v>44707</v>
      </c>
      <c r="D357" s="29" t="s">
        <v>2178</v>
      </c>
      <c r="E357" s="30" t="s">
        <v>13</v>
      </c>
      <c r="F357" s="31" t="s">
        <v>11</v>
      </c>
      <c r="G357" s="31" t="s">
        <v>2179</v>
      </c>
      <c r="H357" s="77" t="s">
        <v>2218</v>
      </c>
      <c r="I357" s="31">
        <f>VLOOKUP(H357,PACOTES!B:E,4,FALSE)</f>
        <v>8</v>
      </c>
      <c r="J357" s="77" t="s">
        <v>419</v>
      </c>
      <c r="K357" s="32">
        <v>2435.16</v>
      </c>
      <c r="L357" s="32">
        <v>2435.16</v>
      </c>
      <c r="M357" s="108">
        <v>0</v>
      </c>
      <c r="N357" s="32"/>
      <c r="O357" s="32"/>
      <c r="P357" s="32"/>
    </row>
    <row r="358" spans="1:16">
      <c r="A358" s="57" t="s">
        <v>13</v>
      </c>
      <c r="B358" s="37">
        <v>44707</v>
      </c>
      <c r="C358" s="28">
        <v>44707</v>
      </c>
      <c r="D358" s="31" t="s">
        <v>2180</v>
      </c>
      <c r="E358" s="30" t="s">
        <v>13</v>
      </c>
      <c r="F358" s="31" t="s">
        <v>11</v>
      </c>
      <c r="G358" s="31" t="s">
        <v>11</v>
      </c>
      <c r="H358" s="77" t="s">
        <v>2218</v>
      </c>
      <c r="I358" s="31">
        <f>VLOOKUP(H358,PACOTES!B:E,4,FALSE)</f>
        <v>8</v>
      </c>
      <c r="J358" s="77" t="s">
        <v>419</v>
      </c>
      <c r="K358" s="32">
        <v>2099.16</v>
      </c>
      <c r="L358" s="32">
        <v>2099.16</v>
      </c>
      <c r="M358" s="108">
        <v>0</v>
      </c>
      <c r="N358" s="32"/>
      <c r="O358" s="32"/>
      <c r="P358" s="32"/>
    </row>
    <row r="359" spans="1:16">
      <c r="A359" s="57">
        <v>323</v>
      </c>
      <c r="B359" s="37">
        <v>44708</v>
      </c>
      <c r="C359" s="28">
        <v>44708</v>
      </c>
      <c r="D359" s="31" t="s">
        <v>1965</v>
      </c>
      <c r="E359" s="30">
        <v>21992756544</v>
      </c>
      <c r="F359" s="31" t="s">
        <v>10</v>
      </c>
      <c r="G359" s="31" t="s">
        <v>1966</v>
      </c>
      <c r="H359" s="77" t="s">
        <v>2218</v>
      </c>
      <c r="I359" s="31">
        <f>VLOOKUP(H359,PACOTES!B:E,4,FALSE)</f>
        <v>8</v>
      </c>
      <c r="J359" s="77" t="s">
        <v>134</v>
      </c>
      <c r="K359" s="32">
        <v>3940</v>
      </c>
      <c r="L359" s="32">
        <v>3940</v>
      </c>
      <c r="M359" s="108">
        <v>0</v>
      </c>
      <c r="N359" s="32"/>
      <c r="O359" s="32"/>
      <c r="P359" s="32"/>
    </row>
    <row r="360" spans="1:16">
      <c r="A360" s="57">
        <v>356</v>
      </c>
      <c r="B360" s="37">
        <v>44712</v>
      </c>
      <c r="C360" s="28">
        <v>44712</v>
      </c>
      <c r="D360" s="31" t="s">
        <v>2016</v>
      </c>
      <c r="E360" s="30">
        <v>21995980902</v>
      </c>
      <c r="F360" s="31" t="s">
        <v>11</v>
      </c>
      <c r="G360" s="31" t="s">
        <v>2017</v>
      </c>
      <c r="H360" s="77" t="s">
        <v>2221</v>
      </c>
      <c r="I360" s="31">
        <f>VLOOKUP(H360,PACOTES!B:E,4,FALSE)</f>
        <v>5</v>
      </c>
      <c r="J360" s="77" t="s">
        <v>419</v>
      </c>
      <c r="K360" s="32">
        <v>2208.5</v>
      </c>
      <c r="L360" s="32">
        <v>2208.5</v>
      </c>
      <c r="M360" s="108">
        <v>0</v>
      </c>
      <c r="N360" s="32"/>
      <c r="O360" s="32"/>
      <c r="P360" s="32"/>
    </row>
    <row r="361" spans="1:16">
      <c r="A361" s="57">
        <v>99</v>
      </c>
      <c r="B361" s="37">
        <v>44713</v>
      </c>
      <c r="C361" s="28">
        <v>44713</v>
      </c>
      <c r="D361" s="31" t="s">
        <v>1563</v>
      </c>
      <c r="E361" s="30">
        <v>21970031194</v>
      </c>
      <c r="F361" s="31" t="s">
        <v>10</v>
      </c>
      <c r="G361" s="31" t="s">
        <v>1564</v>
      </c>
      <c r="H361" s="77" t="s">
        <v>2218</v>
      </c>
      <c r="I361" s="31">
        <f>VLOOKUP(H361,PACOTES!B:E,4,FALSE)</f>
        <v>8</v>
      </c>
      <c r="J361" s="77" t="s">
        <v>134</v>
      </c>
      <c r="K361" s="32">
        <v>3960</v>
      </c>
      <c r="L361" s="32">
        <v>3960</v>
      </c>
      <c r="M361" s="108">
        <v>0</v>
      </c>
      <c r="N361" s="32"/>
      <c r="O361" s="32"/>
      <c r="P361" s="32"/>
    </row>
    <row r="362" spans="1:16">
      <c r="A362" s="57">
        <v>334</v>
      </c>
      <c r="B362" s="37">
        <v>44721</v>
      </c>
      <c r="C362" s="28">
        <v>44721</v>
      </c>
      <c r="D362" s="31" t="s">
        <v>1984</v>
      </c>
      <c r="E362" s="30">
        <v>21994047808</v>
      </c>
      <c r="F362" s="31" t="s">
        <v>10</v>
      </c>
      <c r="G362" s="31" t="s">
        <v>1985</v>
      </c>
      <c r="H362" s="77" t="s">
        <v>2218</v>
      </c>
      <c r="I362" s="31">
        <f>VLOOKUP(H362,PACOTES!B:E,4,FALSE)</f>
        <v>8</v>
      </c>
      <c r="J362" s="77" t="s">
        <v>419</v>
      </c>
      <c r="K362" s="32">
        <v>250</v>
      </c>
      <c r="L362" s="32">
        <v>250</v>
      </c>
      <c r="M362" s="108">
        <v>0</v>
      </c>
      <c r="N362" s="32"/>
      <c r="O362" s="32"/>
      <c r="P362" s="32"/>
    </row>
    <row r="363" spans="1:16">
      <c r="A363" s="57">
        <v>376</v>
      </c>
      <c r="B363" s="37">
        <v>44721</v>
      </c>
      <c r="C363" s="28">
        <v>44721</v>
      </c>
      <c r="D363" s="31" t="s">
        <v>1623</v>
      </c>
      <c r="E363" s="30">
        <v>21997221079</v>
      </c>
      <c r="F363" s="31" t="s">
        <v>10</v>
      </c>
      <c r="G363" s="31" t="s">
        <v>2044</v>
      </c>
      <c r="H363" s="77" t="s">
        <v>2218</v>
      </c>
      <c r="I363" s="31">
        <f>VLOOKUP(H363,PACOTES!B:E,4,FALSE)</f>
        <v>8</v>
      </c>
      <c r="J363" s="77" t="s">
        <v>419</v>
      </c>
      <c r="K363" s="32">
        <v>250</v>
      </c>
      <c r="L363" s="32">
        <v>250</v>
      </c>
      <c r="M363" s="108">
        <v>0</v>
      </c>
      <c r="N363" s="32"/>
      <c r="O363" s="32"/>
      <c r="P363" s="32"/>
    </row>
    <row r="364" spans="1:16">
      <c r="A364" s="57">
        <v>376</v>
      </c>
      <c r="B364" s="37">
        <v>44721</v>
      </c>
      <c r="C364" s="28">
        <v>44721</v>
      </c>
      <c r="D364" s="31" t="s">
        <v>1623</v>
      </c>
      <c r="E364" s="30">
        <v>21997221079</v>
      </c>
      <c r="F364" s="31" t="s">
        <v>10</v>
      </c>
      <c r="G364" s="31" t="s">
        <v>2045</v>
      </c>
      <c r="H364" s="77" t="s">
        <v>2218</v>
      </c>
      <c r="I364" s="31">
        <f>VLOOKUP(H364,PACOTES!B:E,4,FALSE)</f>
        <v>8</v>
      </c>
      <c r="J364" s="77" t="s">
        <v>419</v>
      </c>
      <c r="K364" s="32">
        <v>250</v>
      </c>
      <c r="L364" s="32">
        <v>250</v>
      </c>
      <c r="M364" s="108">
        <v>0</v>
      </c>
      <c r="N364" s="32"/>
      <c r="O364" s="32"/>
      <c r="P364" s="32"/>
    </row>
    <row r="365" spans="1:16">
      <c r="A365" s="57">
        <v>7</v>
      </c>
      <c r="B365" s="37">
        <v>44725</v>
      </c>
      <c r="C365" s="28">
        <v>44725</v>
      </c>
      <c r="D365" s="29" t="s">
        <v>1204</v>
      </c>
      <c r="E365" s="33">
        <v>21964070786</v>
      </c>
      <c r="F365" s="31" t="s">
        <v>11</v>
      </c>
      <c r="G365" s="31" t="s">
        <v>1205</v>
      </c>
      <c r="H365" s="77" t="s">
        <v>2218</v>
      </c>
      <c r="I365" s="31">
        <f>VLOOKUP(H365,PACOTES!B:E,4,FALSE)</f>
        <v>8</v>
      </c>
      <c r="J365" s="77" t="s">
        <v>134</v>
      </c>
      <c r="K365" s="32">
        <v>2600</v>
      </c>
      <c r="L365" s="32">
        <v>2600</v>
      </c>
      <c r="M365" s="108">
        <v>0</v>
      </c>
      <c r="N365" s="32"/>
      <c r="O365" s="32"/>
      <c r="P365" s="32"/>
    </row>
    <row r="366" spans="1:16">
      <c r="A366" s="57">
        <v>287</v>
      </c>
      <c r="B366" s="37">
        <v>44726</v>
      </c>
      <c r="C366" s="28">
        <v>44726</v>
      </c>
      <c r="D366" s="29" t="s">
        <v>1910</v>
      </c>
      <c r="E366" s="30">
        <v>21988389572</v>
      </c>
      <c r="F366" s="31" t="s">
        <v>11</v>
      </c>
      <c r="G366" s="31" t="s">
        <v>1911</v>
      </c>
      <c r="H366" s="77" t="s">
        <v>2218</v>
      </c>
      <c r="I366" s="31">
        <f>VLOOKUP(H366,PACOTES!B:E,4,FALSE)</f>
        <v>8</v>
      </c>
      <c r="J366" s="77" t="s">
        <v>134</v>
      </c>
      <c r="K366" s="32">
        <v>2600</v>
      </c>
      <c r="L366" s="32">
        <v>2600</v>
      </c>
      <c r="M366" s="108">
        <v>0</v>
      </c>
      <c r="N366" s="32"/>
      <c r="O366" s="32"/>
      <c r="P366" s="32"/>
    </row>
    <row r="367" spans="1:16">
      <c r="A367" s="57">
        <v>427</v>
      </c>
      <c r="B367" s="37">
        <v>44728</v>
      </c>
      <c r="C367" s="28">
        <v>44728</v>
      </c>
      <c r="D367" s="29" t="s">
        <v>2103</v>
      </c>
      <c r="E367" s="30">
        <v>22999368417</v>
      </c>
      <c r="F367" s="31" t="s">
        <v>11</v>
      </c>
      <c r="G367" s="31" t="s">
        <v>1500</v>
      </c>
      <c r="H367" s="77" t="s">
        <v>2218</v>
      </c>
      <c r="I367" s="31">
        <f>VLOOKUP(H367,PACOTES!B:E,4,FALSE)</f>
        <v>8</v>
      </c>
      <c r="J367" s="77" t="s">
        <v>419</v>
      </c>
      <c r="K367" s="32">
        <v>2200</v>
      </c>
      <c r="L367" s="32">
        <v>2200</v>
      </c>
      <c r="M367" s="108">
        <v>0</v>
      </c>
      <c r="N367" s="32"/>
      <c r="O367" s="32"/>
      <c r="P367" s="32"/>
    </row>
    <row r="368" spans="1:16">
      <c r="A368" s="57">
        <v>87</v>
      </c>
      <c r="B368" s="37">
        <v>44734</v>
      </c>
      <c r="C368" s="37">
        <v>44736</v>
      </c>
      <c r="D368" s="29" t="s">
        <v>1524</v>
      </c>
      <c r="E368" s="30">
        <v>21969168478</v>
      </c>
      <c r="F368" s="31" t="s">
        <v>10</v>
      </c>
      <c r="G368" s="31" t="s">
        <v>1525</v>
      </c>
      <c r="H368" s="77" t="s">
        <v>2218</v>
      </c>
      <c r="I368" s="31">
        <f>VLOOKUP(H368,PACOTES!B:E,4,FALSE)</f>
        <v>8</v>
      </c>
      <c r="J368" s="77" t="s">
        <v>419</v>
      </c>
      <c r="K368" s="32">
        <v>3200</v>
      </c>
      <c r="L368" s="32">
        <v>3200</v>
      </c>
      <c r="M368" s="108">
        <v>0</v>
      </c>
      <c r="N368" s="32"/>
      <c r="O368" s="32"/>
      <c r="P368" s="32"/>
    </row>
    <row r="369" spans="1:16">
      <c r="A369" s="57">
        <v>363</v>
      </c>
      <c r="B369" s="37">
        <v>44734</v>
      </c>
      <c r="C369" s="28">
        <v>44734</v>
      </c>
      <c r="D369" s="29" t="s">
        <v>2025</v>
      </c>
      <c r="E369" s="30">
        <v>21996401848</v>
      </c>
      <c r="F369" s="31" t="s">
        <v>10</v>
      </c>
      <c r="G369" s="31" t="s">
        <v>2026</v>
      </c>
      <c r="H369" s="77" t="s">
        <v>2218</v>
      </c>
      <c r="I369" s="31">
        <f>VLOOKUP(H369,PACOTES!B:E,4,FALSE)</f>
        <v>8</v>
      </c>
      <c r="J369" s="77" t="s">
        <v>134</v>
      </c>
      <c r="K369" s="32">
        <v>3350</v>
      </c>
      <c r="L369" s="32">
        <v>3350</v>
      </c>
      <c r="M369" s="108">
        <v>0</v>
      </c>
      <c r="N369" s="32"/>
      <c r="O369" s="32"/>
      <c r="P369" s="32"/>
    </row>
    <row r="370" spans="1:16">
      <c r="A370" s="57">
        <v>363</v>
      </c>
      <c r="B370" s="37">
        <v>44734</v>
      </c>
      <c r="C370" s="28">
        <v>44734</v>
      </c>
      <c r="D370" s="29" t="s">
        <v>2025</v>
      </c>
      <c r="E370" s="30">
        <v>21996401848</v>
      </c>
      <c r="F370" s="31" t="s">
        <v>10</v>
      </c>
      <c r="G370" s="31" t="s">
        <v>2026</v>
      </c>
      <c r="H370" s="77" t="s">
        <v>2218</v>
      </c>
      <c r="I370" s="31">
        <f>VLOOKUP(H370,PACOTES!B:E,4,FALSE)</f>
        <v>8</v>
      </c>
      <c r="J370" s="77" t="s">
        <v>134</v>
      </c>
      <c r="K370" s="32">
        <v>3350</v>
      </c>
      <c r="L370" s="32">
        <v>3350</v>
      </c>
      <c r="M370" s="108">
        <v>0</v>
      </c>
      <c r="N370" s="32"/>
      <c r="O370" s="32"/>
      <c r="P370" s="32"/>
    </row>
    <row r="371" spans="1:16">
      <c r="A371" s="57">
        <v>224</v>
      </c>
      <c r="B371" s="37">
        <v>44736</v>
      </c>
      <c r="C371" s="28">
        <v>44736</v>
      </c>
      <c r="D371" s="29" t="s">
        <v>1791</v>
      </c>
      <c r="E371" s="30">
        <v>21982296332</v>
      </c>
      <c r="F371" s="31" t="s">
        <v>11</v>
      </c>
      <c r="G371" s="31" t="s">
        <v>1792</v>
      </c>
      <c r="H371" s="77" t="s">
        <v>2218</v>
      </c>
      <c r="I371" s="31">
        <f>VLOOKUP(H371,PACOTES!B:E,4,FALSE)</f>
        <v>8</v>
      </c>
      <c r="J371" s="77" t="s">
        <v>419</v>
      </c>
      <c r="K371" s="32">
        <v>2200</v>
      </c>
      <c r="L371" s="32">
        <v>2200</v>
      </c>
      <c r="M371" s="108">
        <v>0</v>
      </c>
      <c r="N371" s="32"/>
      <c r="O371" s="32"/>
      <c r="P371" s="32"/>
    </row>
    <row r="372" spans="1:16">
      <c r="A372" s="57">
        <v>485</v>
      </c>
      <c r="B372" s="37">
        <v>44738</v>
      </c>
      <c r="C372" s="28">
        <v>44738</v>
      </c>
      <c r="D372" s="31" t="s">
        <v>1329</v>
      </c>
      <c r="E372" s="31">
        <v>27996050018</v>
      </c>
      <c r="F372" s="31" t="s">
        <v>10</v>
      </c>
      <c r="G372" s="31" t="s">
        <v>1330</v>
      </c>
      <c r="H372" s="77" t="s">
        <v>2218</v>
      </c>
      <c r="I372" s="31">
        <f>VLOOKUP(H372,PACOTES!B:E,4,FALSE)</f>
        <v>8</v>
      </c>
      <c r="J372" s="77" t="s">
        <v>419</v>
      </c>
      <c r="K372" s="32">
        <v>3325</v>
      </c>
      <c r="L372" s="32">
        <v>3325</v>
      </c>
      <c r="M372" s="108">
        <v>0</v>
      </c>
      <c r="N372" s="32"/>
      <c r="O372" s="32"/>
      <c r="P372" s="32"/>
    </row>
    <row r="373" spans="1:16">
      <c r="A373" s="57">
        <v>183</v>
      </c>
      <c r="B373" s="37">
        <v>44743</v>
      </c>
      <c r="C373" s="28">
        <v>44743</v>
      </c>
      <c r="D373" s="29" t="s">
        <v>1719</v>
      </c>
      <c r="E373" s="30">
        <v>21979929010</v>
      </c>
      <c r="F373" s="31" t="s">
        <v>10</v>
      </c>
      <c r="G373" s="31" t="s">
        <v>1720</v>
      </c>
      <c r="H373" s="77" t="s">
        <v>2218</v>
      </c>
      <c r="I373" s="31">
        <f>VLOOKUP(H373,PACOTES!B:E,4,FALSE)</f>
        <v>8</v>
      </c>
      <c r="J373" s="77" t="s">
        <v>134</v>
      </c>
      <c r="K373" s="32">
        <v>3580</v>
      </c>
      <c r="L373" s="32">
        <v>3580</v>
      </c>
      <c r="M373" s="108">
        <v>0</v>
      </c>
      <c r="N373" s="32"/>
      <c r="O373" s="32"/>
      <c r="P373" s="32"/>
    </row>
    <row r="374" spans="1:16">
      <c r="A374" s="57">
        <v>503</v>
      </c>
      <c r="B374" s="37">
        <v>44746</v>
      </c>
      <c r="C374" s="28">
        <v>44747</v>
      </c>
      <c r="D374" s="31" t="s">
        <v>1416</v>
      </c>
      <c r="E374" s="30">
        <v>37999559701</v>
      </c>
      <c r="F374" s="31" t="s">
        <v>11</v>
      </c>
      <c r="G374" s="31" t="s">
        <v>1251</v>
      </c>
      <c r="H374" s="77" t="s">
        <v>2218</v>
      </c>
      <c r="I374" s="31">
        <f>VLOOKUP(H374,PACOTES!B:E,4,FALSE)</f>
        <v>8</v>
      </c>
      <c r="J374" s="77" t="s">
        <v>419</v>
      </c>
      <c r="K374" s="32">
        <v>2099.9899999999998</v>
      </c>
      <c r="L374" s="32">
        <v>2099.9899999999998</v>
      </c>
      <c r="M374" s="108">
        <v>0</v>
      </c>
      <c r="N374" s="32"/>
      <c r="O374" s="32"/>
      <c r="P374" s="32"/>
    </row>
    <row r="375" spans="1:16">
      <c r="A375" s="57">
        <v>65</v>
      </c>
      <c r="B375" s="37">
        <v>44749</v>
      </c>
      <c r="C375" s="28">
        <v>44750</v>
      </c>
      <c r="D375" s="31" t="s">
        <v>1223</v>
      </c>
      <c r="E375" s="30">
        <v>21965960300</v>
      </c>
      <c r="F375" s="31" t="s">
        <v>11</v>
      </c>
      <c r="G375" s="31" t="s">
        <v>1450</v>
      </c>
      <c r="H375" s="77" t="s">
        <v>2221</v>
      </c>
      <c r="I375" s="31">
        <f>VLOOKUP(H375,PACOTES!B:E,4,FALSE)</f>
        <v>5</v>
      </c>
      <c r="J375" s="77" t="s">
        <v>419</v>
      </c>
      <c r="K375" s="32">
        <v>2200</v>
      </c>
      <c r="L375" s="32">
        <v>2200</v>
      </c>
      <c r="M375" s="108">
        <v>0</v>
      </c>
      <c r="N375" s="32"/>
      <c r="O375" s="32"/>
      <c r="P375" s="32"/>
    </row>
    <row r="376" spans="1:16">
      <c r="A376" s="57">
        <v>97</v>
      </c>
      <c r="B376" s="37">
        <v>44749</v>
      </c>
      <c r="C376" s="28">
        <v>44750</v>
      </c>
      <c r="D376" s="29" t="s">
        <v>1557</v>
      </c>
      <c r="E376" s="30">
        <v>21970009090</v>
      </c>
      <c r="F376" s="31" t="s">
        <v>10</v>
      </c>
      <c r="G376" s="31" t="s">
        <v>1558</v>
      </c>
      <c r="H376" s="77" t="s">
        <v>2218</v>
      </c>
      <c r="I376" s="31">
        <f>VLOOKUP(H376,PACOTES!B:E,4,FALSE)</f>
        <v>8</v>
      </c>
      <c r="J376" s="77" t="s">
        <v>134</v>
      </c>
      <c r="K376" s="32">
        <v>3600</v>
      </c>
      <c r="L376" s="32">
        <v>3600</v>
      </c>
      <c r="M376" s="108">
        <v>0</v>
      </c>
      <c r="N376" s="32"/>
      <c r="O376" s="32"/>
      <c r="P376" s="32"/>
    </row>
    <row r="377" spans="1:16">
      <c r="A377" s="57">
        <v>183</v>
      </c>
      <c r="B377" s="37">
        <v>44749</v>
      </c>
      <c r="C377" s="28">
        <v>44757</v>
      </c>
      <c r="D377" s="29" t="s">
        <v>1719</v>
      </c>
      <c r="E377" s="30">
        <v>21979929010</v>
      </c>
      <c r="F377" s="31" t="s">
        <v>10</v>
      </c>
      <c r="G377" s="31" t="s">
        <v>1721</v>
      </c>
      <c r="H377" s="77" t="s">
        <v>2218</v>
      </c>
      <c r="I377" s="31">
        <f>VLOOKUP(H377,PACOTES!B:E,4,FALSE)</f>
        <v>8</v>
      </c>
      <c r="J377" s="77" t="s">
        <v>134</v>
      </c>
      <c r="K377" s="32">
        <v>3580</v>
      </c>
      <c r="L377" s="32">
        <v>3580</v>
      </c>
      <c r="M377" s="108">
        <v>0</v>
      </c>
      <c r="N377" s="32"/>
      <c r="O377" s="32"/>
      <c r="P377" s="32"/>
    </row>
    <row r="378" spans="1:16">
      <c r="A378" s="57">
        <v>237</v>
      </c>
      <c r="B378" s="37">
        <v>44749</v>
      </c>
      <c r="C378" s="28">
        <v>44749</v>
      </c>
      <c r="D378" s="29" t="s">
        <v>1813</v>
      </c>
      <c r="E378" s="30">
        <v>21982858950</v>
      </c>
      <c r="F378" s="31" t="s">
        <v>10</v>
      </c>
      <c r="G378" s="31" t="s">
        <v>1814</v>
      </c>
      <c r="H378" s="77" t="s">
        <v>2218</v>
      </c>
      <c r="I378" s="31">
        <f>VLOOKUP(H378,PACOTES!B:E,4,FALSE)</f>
        <v>8</v>
      </c>
      <c r="J378" s="77" t="s">
        <v>134</v>
      </c>
      <c r="K378" s="32">
        <v>3700</v>
      </c>
      <c r="L378" s="32">
        <v>3700</v>
      </c>
      <c r="M378" s="108">
        <v>0</v>
      </c>
      <c r="N378" s="32"/>
      <c r="O378" s="32"/>
      <c r="P378" s="32"/>
    </row>
    <row r="379" spans="1:16">
      <c r="A379" s="57">
        <v>272</v>
      </c>
      <c r="B379" s="37">
        <v>44749</v>
      </c>
      <c r="C379" s="28">
        <v>44757</v>
      </c>
      <c r="D379" s="29" t="s">
        <v>1883</v>
      </c>
      <c r="E379" s="30">
        <v>21987216350</v>
      </c>
      <c r="F379" s="31" t="s">
        <v>10</v>
      </c>
      <c r="G379" s="31" t="s">
        <v>1884</v>
      </c>
      <c r="H379" s="77" t="s">
        <v>2221</v>
      </c>
      <c r="I379" s="31">
        <f>VLOOKUP(H379,PACOTES!B:E,4,FALSE)</f>
        <v>5</v>
      </c>
      <c r="J379" s="77" t="s">
        <v>134</v>
      </c>
      <c r="K379" s="32">
        <v>4400</v>
      </c>
      <c r="L379" s="32">
        <v>4400</v>
      </c>
      <c r="M379" s="108">
        <v>0</v>
      </c>
      <c r="N379" s="32"/>
      <c r="O379" s="32"/>
      <c r="P379" s="32"/>
    </row>
    <row r="380" spans="1:16">
      <c r="A380" s="57">
        <v>272</v>
      </c>
      <c r="B380" s="37">
        <v>44749</v>
      </c>
      <c r="C380" s="28">
        <v>44757</v>
      </c>
      <c r="D380" s="29" t="s">
        <v>1883</v>
      </c>
      <c r="E380" s="30">
        <v>21987216350</v>
      </c>
      <c r="F380" s="31" t="s">
        <v>10</v>
      </c>
      <c r="G380" s="31" t="s">
        <v>1885</v>
      </c>
      <c r="H380" s="77" t="s">
        <v>2221</v>
      </c>
      <c r="I380" s="31">
        <f>VLOOKUP(H380,PACOTES!B:E,4,FALSE)</f>
        <v>5</v>
      </c>
      <c r="J380" s="77" t="s">
        <v>134</v>
      </c>
      <c r="K380" s="32">
        <v>4400</v>
      </c>
      <c r="L380" s="32">
        <v>4400</v>
      </c>
      <c r="M380" s="108">
        <v>0</v>
      </c>
      <c r="N380" s="32"/>
      <c r="O380" s="32"/>
      <c r="P380" s="32"/>
    </row>
    <row r="381" spans="1:16">
      <c r="A381" s="57">
        <v>97</v>
      </c>
      <c r="B381" s="37">
        <v>44750</v>
      </c>
      <c r="C381" s="28">
        <v>44764</v>
      </c>
      <c r="D381" s="29" t="s">
        <v>1557</v>
      </c>
      <c r="E381" s="30">
        <v>21970009090</v>
      </c>
      <c r="F381" s="31" t="s">
        <v>10</v>
      </c>
      <c r="G381" s="31" t="s">
        <v>1558</v>
      </c>
      <c r="H381" s="77" t="s">
        <v>2218</v>
      </c>
      <c r="I381" s="31">
        <f>VLOOKUP(H381,PACOTES!B:E,4,FALSE)</f>
        <v>8</v>
      </c>
      <c r="J381" s="77" t="s">
        <v>134</v>
      </c>
      <c r="K381" s="32">
        <v>3600</v>
      </c>
      <c r="L381" s="32">
        <v>3600</v>
      </c>
      <c r="M381" s="108">
        <v>0</v>
      </c>
      <c r="N381" s="32"/>
      <c r="O381" s="32"/>
      <c r="P381" s="32"/>
    </row>
    <row r="382" spans="1:16">
      <c r="A382" s="57">
        <v>279</v>
      </c>
      <c r="B382" s="37">
        <v>44753</v>
      </c>
      <c r="C382" s="28">
        <v>44757</v>
      </c>
      <c r="D382" s="29" t="s">
        <v>1896</v>
      </c>
      <c r="E382" s="30">
        <v>21987641615</v>
      </c>
      <c r="F382" s="31" t="s">
        <v>11</v>
      </c>
      <c r="G382" s="31" t="s">
        <v>1897</v>
      </c>
      <c r="H382" s="77" t="s">
        <v>2221</v>
      </c>
      <c r="I382" s="31">
        <f>VLOOKUP(H382,PACOTES!B:E,4,FALSE)</f>
        <v>5</v>
      </c>
      <c r="J382" s="77" t="s">
        <v>134</v>
      </c>
      <c r="K382" s="32">
        <v>3500</v>
      </c>
      <c r="L382" s="32">
        <v>3500</v>
      </c>
      <c r="M382" s="108">
        <v>0</v>
      </c>
      <c r="N382" s="32"/>
      <c r="O382" s="32"/>
      <c r="P382" s="32"/>
    </row>
    <row r="383" spans="1:16">
      <c r="A383" s="57">
        <v>40</v>
      </c>
      <c r="B383" s="37">
        <v>44754</v>
      </c>
      <c r="C383" s="28">
        <v>44764</v>
      </c>
      <c r="D383" s="29" t="s">
        <v>1340</v>
      </c>
      <c r="E383" s="30">
        <v>21964668823</v>
      </c>
      <c r="F383" s="31" t="s">
        <v>10</v>
      </c>
      <c r="G383" s="31" t="s">
        <v>1341</v>
      </c>
      <c r="H383" s="77" t="s">
        <v>2220</v>
      </c>
      <c r="I383" s="31">
        <f>VLOOKUP(H383,PACOTES!B:E,4,FALSE)</f>
        <v>6</v>
      </c>
      <c r="J383" s="77" t="s">
        <v>134</v>
      </c>
      <c r="K383" s="32">
        <v>3800</v>
      </c>
      <c r="L383" s="32">
        <v>3800</v>
      </c>
      <c r="M383" s="108">
        <v>0</v>
      </c>
      <c r="N383" s="32"/>
      <c r="O383" s="32"/>
      <c r="P383" s="32"/>
    </row>
    <row r="384" spans="1:16">
      <c r="A384" s="57">
        <v>40</v>
      </c>
      <c r="B384" s="37">
        <v>44754</v>
      </c>
      <c r="C384" s="28">
        <v>44764</v>
      </c>
      <c r="D384" s="29" t="s">
        <v>1340</v>
      </c>
      <c r="E384" s="30">
        <v>21964668823</v>
      </c>
      <c r="F384" s="31" t="s">
        <v>10</v>
      </c>
      <c r="G384" s="31" t="s">
        <v>1342</v>
      </c>
      <c r="H384" s="77" t="s">
        <v>2220</v>
      </c>
      <c r="I384" s="31">
        <f>VLOOKUP(H384,PACOTES!B:E,4,FALSE)</f>
        <v>6</v>
      </c>
      <c r="J384" s="77" t="s">
        <v>134</v>
      </c>
      <c r="K384" s="32">
        <v>3800</v>
      </c>
      <c r="L384" s="32">
        <v>3800</v>
      </c>
      <c r="M384" s="108">
        <v>0</v>
      </c>
      <c r="N384" s="32"/>
      <c r="O384" s="32"/>
      <c r="P384" s="32"/>
    </row>
    <row r="385" spans="1:16">
      <c r="A385" s="57">
        <v>47</v>
      </c>
      <c r="B385" s="37">
        <v>44754</v>
      </c>
      <c r="C385" s="28">
        <v>44764</v>
      </c>
      <c r="D385" s="29" t="s">
        <v>1372</v>
      </c>
      <c r="E385" s="30">
        <v>21964500550</v>
      </c>
      <c r="F385" s="31" t="s">
        <v>10</v>
      </c>
      <c r="G385" s="31" t="s">
        <v>1342</v>
      </c>
      <c r="H385" s="77" t="s">
        <v>2226</v>
      </c>
      <c r="I385" s="31">
        <f>VLOOKUP(H385,PACOTES!B:E,4,FALSE)</f>
        <v>0</v>
      </c>
      <c r="J385" s="77" t="s">
        <v>134</v>
      </c>
      <c r="K385" s="32">
        <v>3300</v>
      </c>
      <c r="L385" s="32">
        <v>3300</v>
      </c>
      <c r="M385" s="108">
        <v>0</v>
      </c>
      <c r="N385" s="32"/>
      <c r="O385" s="32"/>
      <c r="P385" s="32"/>
    </row>
    <row r="386" spans="1:16">
      <c r="A386" s="57">
        <v>491</v>
      </c>
      <c r="B386" s="37">
        <v>44764</v>
      </c>
      <c r="C386" s="28">
        <v>44764</v>
      </c>
      <c r="D386" s="31" t="s">
        <v>1360</v>
      </c>
      <c r="E386" s="30">
        <v>31992698238</v>
      </c>
      <c r="F386" s="31" t="s">
        <v>11</v>
      </c>
      <c r="G386" s="31" t="s">
        <v>1361</v>
      </c>
      <c r="H386" s="77" t="s">
        <v>2218</v>
      </c>
      <c r="I386" s="31">
        <f>VLOOKUP(H386,PACOTES!B:E,4,FALSE)</f>
        <v>8</v>
      </c>
      <c r="J386" s="77" t="s">
        <v>419</v>
      </c>
      <c r="K386" s="32">
        <v>1982.09</v>
      </c>
      <c r="L386" s="32">
        <v>1982.09</v>
      </c>
      <c r="M386" s="108">
        <v>0</v>
      </c>
      <c r="N386" s="32"/>
      <c r="O386" s="32"/>
      <c r="P386" s="32"/>
    </row>
    <row r="387" spans="1:16">
      <c r="A387" s="57">
        <v>441</v>
      </c>
      <c r="B387" s="37">
        <v>44768</v>
      </c>
      <c r="C387" s="28">
        <v>44768</v>
      </c>
      <c r="D387" s="31" t="s">
        <v>2124</v>
      </c>
      <c r="E387" s="30">
        <v>24992667400</v>
      </c>
      <c r="F387" s="31" t="s">
        <v>11</v>
      </c>
      <c r="G387" s="31" t="s">
        <v>2125</v>
      </c>
      <c r="H387" s="77" t="s">
        <v>2218</v>
      </c>
      <c r="I387" s="31">
        <f>VLOOKUP(H387,PACOTES!B:E,4,FALSE)</f>
        <v>8</v>
      </c>
      <c r="J387" s="77" t="s">
        <v>134</v>
      </c>
      <c r="K387" s="32">
        <v>2800</v>
      </c>
      <c r="L387" s="32">
        <v>2800</v>
      </c>
      <c r="M387" s="108">
        <v>0</v>
      </c>
      <c r="N387" s="32"/>
      <c r="O387" s="32"/>
      <c r="P387" s="32"/>
    </row>
    <row r="388" spans="1:16">
      <c r="A388" s="57">
        <v>538</v>
      </c>
      <c r="B388" s="37">
        <v>44770</v>
      </c>
      <c r="C388" s="28">
        <v>44770</v>
      </c>
      <c r="D388" s="31" t="s">
        <v>1534</v>
      </c>
      <c r="E388" s="30">
        <v>67998844554</v>
      </c>
      <c r="F388" s="31" t="s">
        <v>11</v>
      </c>
      <c r="G388" s="31" t="s">
        <v>1535</v>
      </c>
      <c r="H388" s="77" t="s">
        <v>2218</v>
      </c>
      <c r="I388" s="31">
        <f>VLOOKUP(H388,PACOTES!B:E,4,FALSE)</f>
        <v>8</v>
      </c>
      <c r="J388" s="77" t="s">
        <v>134</v>
      </c>
      <c r="K388" s="32">
        <v>2619.27</v>
      </c>
      <c r="L388" s="32">
        <v>2619.27</v>
      </c>
      <c r="M388" s="108">
        <v>0</v>
      </c>
      <c r="N388" s="32"/>
      <c r="O388" s="32"/>
      <c r="P388" s="32"/>
    </row>
    <row r="389" spans="1:16">
      <c r="A389" s="57">
        <v>104</v>
      </c>
      <c r="B389" s="37">
        <v>44770</v>
      </c>
      <c r="C389" s="28">
        <v>44770</v>
      </c>
      <c r="D389" s="29" t="s">
        <v>1510</v>
      </c>
      <c r="E389" s="30">
        <v>21970112587</v>
      </c>
      <c r="F389" s="31" t="s">
        <v>11</v>
      </c>
      <c r="G389" s="31" t="s">
        <v>1288</v>
      </c>
      <c r="H389" s="77" t="s">
        <v>2218</v>
      </c>
      <c r="I389" s="31">
        <f>VLOOKUP(H389,PACOTES!B:E,4,FALSE)</f>
        <v>8</v>
      </c>
      <c r="J389" s="77" t="s">
        <v>419</v>
      </c>
      <c r="K389" s="32">
        <v>2300</v>
      </c>
      <c r="L389" s="32">
        <v>2300</v>
      </c>
      <c r="M389" s="108">
        <v>0</v>
      </c>
      <c r="N389" s="32"/>
      <c r="O389" s="32"/>
      <c r="P389" s="32"/>
    </row>
    <row r="390" spans="1:16">
      <c r="A390" s="57">
        <v>139</v>
      </c>
      <c r="B390" s="37">
        <v>44771</v>
      </c>
      <c r="C390" s="28">
        <v>44771</v>
      </c>
      <c r="D390" s="29" t="s">
        <v>1654</v>
      </c>
      <c r="E390" s="30">
        <v>21973516254</v>
      </c>
      <c r="F390" s="31" t="s">
        <v>10</v>
      </c>
      <c r="G390" s="31" t="s">
        <v>1655</v>
      </c>
      <c r="H390" s="77" t="s">
        <v>2218</v>
      </c>
      <c r="I390" s="31">
        <f>VLOOKUP(H390,PACOTES!B:E,4,FALSE)</f>
        <v>8</v>
      </c>
      <c r="J390" s="77" t="s">
        <v>134</v>
      </c>
      <c r="K390" s="32">
        <v>3500</v>
      </c>
      <c r="L390" s="32">
        <v>3500</v>
      </c>
      <c r="M390" s="108">
        <v>0</v>
      </c>
      <c r="N390" s="32"/>
      <c r="O390" s="32"/>
      <c r="P390" s="32"/>
    </row>
    <row r="391" spans="1:16">
      <c r="A391" s="57">
        <v>349</v>
      </c>
      <c r="B391" s="37">
        <v>44771</v>
      </c>
      <c r="C391" s="28">
        <v>44771</v>
      </c>
      <c r="D391" s="29" t="s">
        <v>2007</v>
      </c>
      <c r="E391" s="30">
        <v>21995465901</v>
      </c>
      <c r="F391" s="31" t="s">
        <v>11</v>
      </c>
      <c r="G391" s="31" t="s">
        <v>2008</v>
      </c>
      <c r="H391" s="77" t="s">
        <v>2218</v>
      </c>
      <c r="I391" s="31">
        <f>VLOOKUP(H391,PACOTES!B:E,4,FALSE)</f>
        <v>8</v>
      </c>
      <c r="J391" s="77" t="s">
        <v>419</v>
      </c>
      <c r="K391" s="32">
        <v>0</v>
      </c>
      <c r="L391" s="32">
        <v>0</v>
      </c>
      <c r="M391" s="108">
        <v>0</v>
      </c>
      <c r="N391" s="32"/>
      <c r="O391" s="32"/>
      <c r="P391" s="32"/>
    </row>
    <row r="392" spans="1:16">
      <c r="A392" s="57">
        <v>453</v>
      </c>
      <c r="B392" s="37">
        <v>44782</v>
      </c>
      <c r="C392" s="28">
        <v>44782</v>
      </c>
      <c r="D392" s="31" t="s">
        <v>1197</v>
      </c>
      <c r="E392" s="30">
        <v>11947571242</v>
      </c>
      <c r="F392" s="31" t="s">
        <v>11</v>
      </c>
      <c r="G392" s="31" t="s">
        <v>1198</v>
      </c>
      <c r="H392" s="77" t="s">
        <v>2218</v>
      </c>
      <c r="I392" s="31">
        <f>VLOOKUP(H392,PACOTES!B:E,4,FALSE)</f>
        <v>8</v>
      </c>
      <c r="J392" s="77" t="s">
        <v>134</v>
      </c>
      <c r="K392" s="32">
        <v>2578.1</v>
      </c>
      <c r="L392" s="32">
        <v>2578.1</v>
      </c>
      <c r="M392" s="108">
        <v>0</v>
      </c>
      <c r="N392" s="32"/>
      <c r="O392" s="32"/>
      <c r="P392" s="32"/>
    </row>
    <row r="393" spans="1:16">
      <c r="A393" s="57">
        <v>134</v>
      </c>
      <c r="B393" s="37">
        <v>44783</v>
      </c>
      <c r="C393" s="28">
        <v>44783</v>
      </c>
      <c r="D393" s="31" t="s">
        <v>1640</v>
      </c>
      <c r="E393" s="30">
        <v>21972587426</v>
      </c>
      <c r="F393" s="31" t="s">
        <v>10</v>
      </c>
      <c r="G393" s="31" t="s">
        <v>9</v>
      </c>
      <c r="H393" s="77" t="s">
        <v>2218</v>
      </c>
      <c r="I393" s="31">
        <f>VLOOKUP(H393,PACOTES!B:E,4,FALSE)</f>
        <v>8</v>
      </c>
      <c r="J393" s="77" t="s">
        <v>134</v>
      </c>
      <c r="K393" s="32">
        <v>4500</v>
      </c>
      <c r="L393" s="32">
        <v>4500</v>
      </c>
      <c r="M393" s="108">
        <v>0</v>
      </c>
      <c r="N393" s="32"/>
      <c r="O393" s="32"/>
      <c r="P393" s="32"/>
    </row>
    <row r="394" spans="1:16">
      <c r="A394" s="57">
        <v>505</v>
      </c>
      <c r="B394" s="37">
        <v>44784</v>
      </c>
      <c r="C394" s="28">
        <v>44784</v>
      </c>
      <c r="D394" s="31" t="s">
        <v>1424</v>
      </c>
      <c r="E394" s="30">
        <v>41996799235</v>
      </c>
      <c r="F394" s="31" t="s">
        <v>11</v>
      </c>
      <c r="G394" s="31" t="s">
        <v>1425</v>
      </c>
      <c r="H394" s="77" t="s">
        <v>2218</v>
      </c>
      <c r="I394" s="31">
        <f>VLOOKUP(H394,PACOTES!B:E,4,FALSE)</f>
        <v>8</v>
      </c>
      <c r="J394" s="77" t="s">
        <v>134</v>
      </c>
      <c r="K394" s="32">
        <v>2576.4699999999998</v>
      </c>
      <c r="L394" s="32">
        <v>2576.4699999999998</v>
      </c>
      <c r="M394" s="108">
        <v>0</v>
      </c>
      <c r="N394" s="32"/>
      <c r="O394" s="32"/>
      <c r="P394" s="32"/>
    </row>
    <row r="395" spans="1:16">
      <c r="A395" s="57">
        <v>183</v>
      </c>
      <c r="B395" s="37">
        <v>44785</v>
      </c>
      <c r="C395" s="28">
        <v>44792</v>
      </c>
      <c r="D395" s="29" t="s">
        <v>1719</v>
      </c>
      <c r="E395" s="30">
        <v>21979929010</v>
      </c>
      <c r="F395" s="31" t="s">
        <v>10</v>
      </c>
      <c r="G395" s="31" t="s">
        <v>1722</v>
      </c>
      <c r="H395" s="77" t="s">
        <v>2218</v>
      </c>
      <c r="I395" s="31">
        <f>VLOOKUP(H395,PACOTES!B:E,4,FALSE)</f>
        <v>8</v>
      </c>
      <c r="J395" s="77" t="s">
        <v>134</v>
      </c>
      <c r="K395" s="32">
        <v>3580</v>
      </c>
      <c r="L395" s="32">
        <v>3580</v>
      </c>
      <c r="M395" s="108">
        <v>0</v>
      </c>
      <c r="N395" s="32"/>
      <c r="O395" s="32"/>
      <c r="P395" s="32"/>
    </row>
    <row r="396" spans="1:16">
      <c r="A396" s="57">
        <v>249</v>
      </c>
      <c r="B396" s="37">
        <v>44785</v>
      </c>
      <c r="C396" s="28">
        <v>44785</v>
      </c>
      <c r="D396" s="29" t="s">
        <v>1837</v>
      </c>
      <c r="E396" s="30">
        <v>21984268086</v>
      </c>
      <c r="F396" s="31" t="s">
        <v>7</v>
      </c>
      <c r="G396" s="31" t="s">
        <v>1838</v>
      </c>
      <c r="H396" s="77" t="s">
        <v>2214</v>
      </c>
      <c r="I396" s="31"/>
      <c r="J396" s="77" t="s">
        <v>2214</v>
      </c>
      <c r="K396" s="32">
        <v>0</v>
      </c>
      <c r="L396" s="32">
        <v>0</v>
      </c>
      <c r="M396" s="108">
        <v>0</v>
      </c>
      <c r="N396" s="104" t="s">
        <v>2214</v>
      </c>
      <c r="O396" s="32"/>
      <c r="P396" s="32"/>
    </row>
    <row r="397" spans="1:16">
      <c r="A397" s="57">
        <v>249</v>
      </c>
      <c r="B397" s="37">
        <v>44785</v>
      </c>
      <c r="C397" s="28">
        <v>44785</v>
      </c>
      <c r="D397" s="29" t="s">
        <v>1837</v>
      </c>
      <c r="E397" s="30">
        <v>21984268086</v>
      </c>
      <c r="F397" s="31" t="s">
        <v>10</v>
      </c>
      <c r="G397" s="31" t="s">
        <v>1839</v>
      </c>
      <c r="H397" s="77" t="s">
        <v>2219</v>
      </c>
      <c r="I397" s="31">
        <f>VLOOKUP(H397,PACOTES!B:E,4,FALSE)</f>
        <v>7</v>
      </c>
      <c r="J397" s="77" t="s">
        <v>419</v>
      </c>
      <c r="K397" s="32">
        <v>3300</v>
      </c>
      <c r="L397" s="32">
        <v>3300</v>
      </c>
      <c r="M397" s="108">
        <v>0</v>
      </c>
      <c r="N397" s="32"/>
      <c r="O397" s="32"/>
      <c r="P397" s="32"/>
    </row>
    <row r="398" spans="1:16">
      <c r="A398" s="57">
        <v>252</v>
      </c>
      <c r="B398" s="37">
        <v>44785</v>
      </c>
      <c r="C398" s="28">
        <v>44785</v>
      </c>
      <c r="D398" s="29" t="s">
        <v>1843</v>
      </c>
      <c r="E398" s="30">
        <v>21984678701</v>
      </c>
      <c r="F398" s="31" t="s">
        <v>10</v>
      </c>
      <c r="G398" s="31" t="s">
        <v>1845</v>
      </c>
      <c r="H398" s="77" t="s">
        <v>2221</v>
      </c>
      <c r="I398" s="31">
        <f>VLOOKUP(H398,PACOTES!B:E,4,FALSE)</f>
        <v>5</v>
      </c>
      <c r="J398" s="77" t="s">
        <v>134</v>
      </c>
      <c r="K398" s="32">
        <v>3500</v>
      </c>
      <c r="L398" s="32">
        <v>3500</v>
      </c>
      <c r="M398" s="108">
        <v>0</v>
      </c>
      <c r="N398" s="32"/>
      <c r="O398" s="32"/>
      <c r="P398" s="32"/>
    </row>
    <row r="399" spans="1:16">
      <c r="A399" s="57">
        <v>166</v>
      </c>
      <c r="B399" s="37">
        <v>44786</v>
      </c>
      <c r="C399" s="28">
        <v>44786</v>
      </c>
      <c r="D399" s="29" t="s">
        <v>1695</v>
      </c>
      <c r="E399" s="30">
        <v>21976366186</v>
      </c>
      <c r="F399" s="31" t="s">
        <v>10</v>
      </c>
      <c r="G399" s="31" t="s">
        <v>1181</v>
      </c>
      <c r="H399" s="77" t="s">
        <v>2219</v>
      </c>
      <c r="I399" s="31">
        <f>VLOOKUP(H399,PACOTES!B:E,4,FALSE)</f>
        <v>7</v>
      </c>
      <c r="J399" s="77" t="s">
        <v>134</v>
      </c>
      <c r="K399" s="32">
        <v>3800</v>
      </c>
      <c r="L399" s="32">
        <v>3800</v>
      </c>
      <c r="M399" s="108">
        <v>0</v>
      </c>
      <c r="N399" s="32"/>
      <c r="O399" s="32"/>
      <c r="P399" s="32"/>
    </row>
    <row r="400" spans="1:16">
      <c r="A400" s="57">
        <v>97</v>
      </c>
      <c r="B400" s="37">
        <v>44788</v>
      </c>
      <c r="C400" s="28">
        <v>44788</v>
      </c>
      <c r="D400" s="29" t="s">
        <v>1557</v>
      </c>
      <c r="E400" s="30">
        <v>21970009090</v>
      </c>
      <c r="F400" s="31" t="s">
        <v>10</v>
      </c>
      <c r="G400" s="31" t="s">
        <v>1559</v>
      </c>
      <c r="H400" s="77" t="s">
        <v>2218</v>
      </c>
      <c r="I400" s="31">
        <f>VLOOKUP(H400,PACOTES!B:E,4,FALSE)</f>
        <v>8</v>
      </c>
      <c r="J400" s="77" t="s">
        <v>134</v>
      </c>
      <c r="K400" s="32">
        <v>3600</v>
      </c>
      <c r="L400" s="32">
        <v>3600</v>
      </c>
      <c r="M400" s="108">
        <v>0</v>
      </c>
      <c r="N400" s="32"/>
      <c r="O400" s="32"/>
      <c r="P400" s="32"/>
    </row>
    <row r="401" spans="1:16">
      <c r="A401" s="57">
        <v>394</v>
      </c>
      <c r="B401" s="37">
        <v>44791</v>
      </c>
      <c r="C401" s="28">
        <v>44791</v>
      </c>
      <c r="D401" s="29" t="s">
        <v>2062</v>
      </c>
      <c r="E401" s="30">
        <v>21998817636</v>
      </c>
      <c r="F401" s="31" t="s">
        <v>11</v>
      </c>
      <c r="G401" s="31" t="s">
        <v>1422</v>
      </c>
      <c r="H401" s="77" t="s">
        <v>2219</v>
      </c>
      <c r="I401" s="31">
        <f>VLOOKUP(H401,PACOTES!B:E,4,FALSE)</f>
        <v>7</v>
      </c>
      <c r="J401" s="77" t="s">
        <v>134</v>
      </c>
      <c r="K401" s="32">
        <v>3050</v>
      </c>
      <c r="L401" s="32">
        <v>3050</v>
      </c>
      <c r="M401" s="108">
        <v>0</v>
      </c>
      <c r="N401" s="32"/>
      <c r="O401" s="32"/>
      <c r="P401" s="32"/>
    </row>
    <row r="402" spans="1:16">
      <c r="A402" s="57" t="s">
        <v>13</v>
      </c>
      <c r="B402" s="37">
        <v>44791</v>
      </c>
      <c r="C402" s="28">
        <v>44791</v>
      </c>
      <c r="D402" s="31" t="s">
        <v>2181</v>
      </c>
      <c r="E402" s="30" t="s">
        <v>13</v>
      </c>
      <c r="F402" s="31" t="s">
        <v>11</v>
      </c>
      <c r="G402" s="31" t="s">
        <v>1535</v>
      </c>
      <c r="H402" s="77" t="s">
        <v>2219</v>
      </c>
      <c r="I402" s="31">
        <f>VLOOKUP(H402,PACOTES!B:E,4,FALSE)</f>
        <v>7</v>
      </c>
      <c r="J402" s="77" t="s">
        <v>134</v>
      </c>
      <c r="K402" s="32">
        <v>2519.9899999999998</v>
      </c>
      <c r="L402" s="32">
        <v>2519.9899999999998</v>
      </c>
      <c r="M402" s="108">
        <v>0</v>
      </c>
      <c r="N402" s="32"/>
      <c r="O402" s="32"/>
      <c r="P402" s="32"/>
    </row>
    <row r="403" spans="1:16">
      <c r="A403" s="57">
        <v>92</v>
      </c>
      <c r="B403" s="37">
        <v>44792</v>
      </c>
      <c r="C403" s="28">
        <v>44792</v>
      </c>
      <c r="D403" s="31" t="s">
        <v>1541</v>
      </c>
      <c r="E403" s="30">
        <v>21969472142</v>
      </c>
      <c r="F403" s="31" t="s">
        <v>10</v>
      </c>
      <c r="G403" s="31" t="s">
        <v>1542</v>
      </c>
      <c r="H403" s="77" t="s">
        <v>2219</v>
      </c>
      <c r="I403" s="31">
        <f>VLOOKUP(H403,PACOTES!B:E,4,FALSE)</f>
        <v>7</v>
      </c>
      <c r="J403" s="77" t="s">
        <v>419</v>
      </c>
      <c r="K403" s="32">
        <v>3300</v>
      </c>
      <c r="L403" s="32">
        <v>3300</v>
      </c>
      <c r="M403" s="108">
        <v>0</v>
      </c>
      <c r="N403" s="32"/>
      <c r="O403" s="32"/>
      <c r="P403" s="32"/>
    </row>
    <row r="404" spans="1:16">
      <c r="A404" s="57">
        <v>252</v>
      </c>
      <c r="B404" s="37">
        <v>44792</v>
      </c>
      <c r="C404" s="28">
        <v>44792</v>
      </c>
      <c r="D404" s="31" t="s">
        <v>1843</v>
      </c>
      <c r="E404" s="30">
        <v>21984678701</v>
      </c>
      <c r="F404" s="31" t="s">
        <v>10</v>
      </c>
      <c r="G404" s="31" t="s">
        <v>1655</v>
      </c>
      <c r="H404" s="77" t="s">
        <v>2221</v>
      </c>
      <c r="I404" s="31">
        <f>VLOOKUP(H404,PACOTES!B:E,4,FALSE)</f>
        <v>5</v>
      </c>
      <c r="J404" s="77" t="s">
        <v>134</v>
      </c>
      <c r="K404" s="32">
        <v>3500</v>
      </c>
      <c r="L404" s="32">
        <v>3500</v>
      </c>
      <c r="M404" s="108">
        <v>0</v>
      </c>
      <c r="N404" s="32"/>
      <c r="O404" s="32"/>
      <c r="P404" s="32"/>
    </row>
    <row r="405" spans="1:16">
      <c r="A405" s="57">
        <v>466</v>
      </c>
      <c r="B405" s="37">
        <v>44795</v>
      </c>
      <c r="C405" s="28">
        <v>44795</v>
      </c>
      <c r="D405" s="31" t="s">
        <v>1252</v>
      </c>
      <c r="E405" s="30">
        <v>11989242241</v>
      </c>
      <c r="F405" s="31" t="s">
        <v>11</v>
      </c>
      <c r="G405" s="31" t="s">
        <v>1253</v>
      </c>
      <c r="H405" s="77" t="s">
        <v>2224</v>
      </c>
      <c r="I405" s="31">
        <f>VLOOKUP(H405,PACOTES!B:E,4,FALSE)</f>
        <v>2</v>
      </c>
      <c r="J405" s="77" t="s">
        <v>134</v>
      </c>
      <c r="K405" s="32">
        <v>2639.42</v>
      </c>
      <c r="L405" s="32">
        <v>2639.42</v>
      </c>
      <c r="M405" s="108">
        <v>0</v>
      </c>
      <c r="N405" s="32"/>
      <c r="O405" s="32"/>
      <c r="P405" s="32"/>
    </row>
    <row r="406" spans="1:16">
      <c r="A406" s="57">
        <v>449</v>
      </c>
      <c r="B406" s="37">
        <v>44796</v>
      </c>
      <c r="C406" s="28">
        <v>44796</v>
      </c>
      <c r="D406" s="31" t="s">
        <v>1180</v>
      </c>
      <c r="E406" s="30">
        <v>11939527445</v>
      </c>
      <c r="F406" s="31" t="s">
        <v>10</v>
      </c>
      <c r="G406" s="31" t="s">
        <v>1181</v>
      </c>
      <c r="H406" s="77" t="s">
        <v>2222</v>
      </c>
      <c r="I406" s="31">
        <f>VLOOKUP(H406,PACOTES!B:E,4,FALSE)</f>
        <v>4</v>
      </c>
      <c r="J406" s="77" t="s">
        <v>419</v>
      </c>
      <c r="K406" s="32">
        <v>3225.6</v>
      </c>
      <c r="L406" s="32">
        <v>3225.6</v>
      </c>
      <c r="M406" s="108">
        <v>0</v>
      </c>
      <c r="N406" s="32"/>
      <c r="O406" s="32"/>
      <c r="P406" s="32"/>
    </row>
    <row r="407" spans="1:16">
      <c r="A407" s="57">
        <v>454</v>
      </c>
      <c r="B407" s="37">
        <v>44796</v>
      </c>
      <c r="C407" s="28">
        <v>44796</v>
      </c>
      <c r="D407" s="31" t="s">
        <v>1201</v>
      </c>
      <c r="E407" s="30">
        <v>11947773542</v>
      </c>
      <c r="F407" s="31" t="s">
        <v>10</v>
      </c>
      <c r="G407" s="31" t="s">
        <v>1181</v>
      </c>
      <c r="H407" s="77" t="s">
        <v>2219</v>
      </c>
      <c r="I407" s="31">
        <f>VLOOKUP(H407,PACOTES!B:E,4,FALSE)</f>
        <v>7</v>
      </c>
      <c r="J407" s="77" t="s">
        <v>419</v>
      </c>
      <c r="K407" s="32">
        <v>3225.6</v>
      </c>
      <c r="L407" s="32">
        <v>3225.6</v>
      </c>
      <c r="M407" s="108">
        <v>0</v>
      </c>
      <c r="N407" s="32"/>
      <c r="O407" s="32"/>
      <c r="P407" s="32"/>
    </row>
    <row r="408" spans="1:16">
      <c r="A408" s="57">
        <v>153</v>
      </c>
      <c r="B408" s="37">
        <v>44796</v>
      </c>
      <c r="C408" s="28">
        <v>44797</v>
      </c>
      <c r="D408" s="31" t="s">
        <v>1678</v>
      </c>
      <c r="E408" s="30">
        <v>21974630303</v>
      </c>
      <c r="F408" s="31" t="s">
        <v>11</v>
      </c>
      <c r="G408" s="31" t="s">
        <v>1224</v>
      </c>
      <c r="H408" s="77" t="s">
        <v>2219</v>
      </c>
      <c r="I408" s="31">
        <f>VLOOKUP(H408,PACOTES!B:E,4,FALSE)</f>
        <v>7</v>
      </c>
      <c r="J408" s="77" t="s">
        <v>419</v>
      </c>
      <c r="K408" s="32">
        <v>2267.9899999999998</v>
      </c>
      <c r="L408" s="32">
        <v>2267.9899999999998</v>
      </c>
      <c r="M408" s="108">
        <v>0</v>
      </c>
      <c r="N408" s="32"/>
      <c r="O408" s="32"/>
      <c r="P408" s="32"/>
    </row>
    <row r="409" spans="1:16">
      <c r="A409" s="57">
        <v>8</v>
      </c>
      <c r="B409" s="37">
        <v>44799</v>
      </c>
      <c r="C409" s="28">
        <v>44799</v>
      </c>
      <c r="D409" s="31" t="s">
        <v>1209</v>
      </c>
      <c r="E409" s="30">
        <v>21964089602</v>
      </c>
      <c r="F409" s="31" t="s">
        <v>8</v>
      </c>
      <c r="G409" s="31" t="s">
        <v>1210</v>
      </c>
      <c r="H409" s="77" t="s">
        <v>2224</v>
      </c>
      <c r="I409" s="31">
        <f>VLOOKUP(H409,PACOTES!B:E,4,FALSE)</f>
        <v>2</v>
      </c>
      <c r="J409" s="77" t="s">
        <v>134</v>
      </c>
      <c r="K409" s="32">
        <v>5350</v>
      </c>
      <c r="L409" s="32">
        <v>5350</v>
      </c>
      <c r="M409" s="108">
        <v>0</v>
      </c>
      <c r="N409" s="32"/>
      <c r="O409" s="32"/>
      <c r="P409" s="32"/>
    </row>
    <row r="410" spans="1:16">
      <c r="A410" s="57">
        <v>387</v>
      </c>
      <c r="B410" s="37">
        <v>44799</v>
      </c>
      <c r="C410" s="28">
        <v>44799</v>
      </c>
      <c r="D410" s="31" t="s">
        <v>2042</v>
      </c>
      <c r="E410" s="30">
        <v>21997999972</v>
      </c>
      <c r="F410" s="31" t="s">
        <v>10</v>
      </c>
      <c r="G410" s="31" t="s">
        <v>1406</v>
      </c>
      <c r="H410" s="77" t="s">
        <v>2219</v>
      </c>
      <c r="I410" s="31">
        <f>VLOOKUP(H410,PACOTES!B:E,4,FALSE)</f>
        <v>7</v>
      </c>
      <c r="J410" s="77" t="s">
        <v>134</v>
      </c>
      <c r="K410" s="32">
        <v>3800</v>
      </c>
      <c r="L410" s="32">
        <v>3800</v>
      </c>
      <c r="M410" s="108">
        <v>0</v>
      </c>
      <c r="N410" s="32"/>
      <c r="O410" s="32"/>
      <c r="P410" s="32"/>
    </row>
    <row r="411" spans="1:16">
      <c r="A411" s="57">
        <v>346</v>
      </c>
      <c r="B411" s="37">
        <v>44800</v>
      </c>
      <c r="C411" s="37">
        <v>44800</v>
      </c>
      <c r="D411" s="29" t="s">
        <v>2002</v>
      </c>
      <c r="E411" s="30">
        <v>21995129124</v>
      </c>
      <c r="F411" s="31" t="s">
        <v>10</v>
      </c>
      <c r="G411" s="31" t="s">
        <v>2003</v>
      </c>
      <c r="H411" s="77" t="s">
        <v>2219</v>
      </c>
      <c r="I411" s="31">
        <f>VLOOKUP(H411,PACOTES!B:E,4,FALSE)</f>
        <v>7</v>
      </c>
      <c r="J411" s="77" t="s">
        <v>134</v>
      </c>
      <c r="K411" s="32">
        <v>3800</v>
      </c>
      <c r="L411" s="32">
        <v>3800</v>
      </c>
      <c r="M411" s="108">
        <v>0</v>
      </c>
      <c r="N411" s="32"/>
      <c r="O411" s="32"/>
      <c r="P411" s="32"/>
    </row>
    <row r="412" spans="1:16">
      <c r="A412" s="57">
        <v>204</v>
      </c>
      <c r="B412" s="37">
        <v>44803</v>
      </c>
      <c r="C412" s="28">
        <v>44803</v>
      </c>
      <c r="D412" s="29" t="s">
        <v>1757</v>
      </c>
      <c r="E412" s="30">
        <v>21981455551</v>
      </c>
      <c r="F412" s="31" t="s">
        <v>11</v>
      </c>
      <c r="G412" s="31" t="s">
        <v>1758</v>
      </c>
      <c r="H412" s="77" t="s">
        <v>2219</v>
      </c>
      <c r="I412" s="31">
        <f>VLOOKUP(H412,PACOTES!B:E,4,FALSE)</f>
        <v>7</v>
      </c>
      <c r="J412" s="77" t="s">
        <v>419</v>
      </c>
      <c r="K412" s="32">
        <v>2400</v>
      </c>
      <c r="L412" s="32">
        <v>2400</v>
      </c>
      <c r="M412" s="108">
        <v>0</v>
      </c>
      <c r="N412" s="32"/>
      <c r="O412" s="32"/>
      <c r="P412" s="32"/>
    </row>
    <row r="413" spans="1:16">
      <c r="A413" s="57">
        <v>313</v>
      </c>
      <c r="B413" s="37">
        <v>44803</v>
      </c>
      <c r="C413" s="28">
        <v>44803</v>
      </c>
      <c r="D413" s="29" t="s">
        <v>1950</v>
      </c>
      <c r="E413" s="30">
        <v>21991913047</v>
      </c>
      <c r="F413" s="31" t="s">
        <v>11</v>
      </c>
      <c r="G413" s="31" t="s">
        <v>1251</v>
      </c>
      <c r="H413" s="77" t="s">
        <v>2221</v>
      </c>
      <c r="I413" s="31">
        <f>VLOOKUP(H413,PACOTES!B:E,4,FALSE)</f>
        <v>5</v>
      </c>
      <c r="J413" s="77" t="s">
        <v>419</v>
      </c>
      <c r="K413" s="32">
        <v>2300</v>
      </c>
      <c r="L413" s="32">
        <v>2300</v>
      </c>
      <c r="M413" s="108">
        <v>0</v>
      </c>
      <c r="N413" s="32"/>
      <c r="O413" s="32"/>
      <c r="P413" s="32"/>
    </row>
    <row r="414" spans="1:16">
      <c r="A414" s="57">
        <v>319</v>
      </c>
      <c r="B414" s="37">
        <v>44805</v>
      </c>
      <c r="C414" s="28">
        <v>44805</v>
      </c>
      <c r="D414" s="29" t="s">
        <v>1958</v>
      </c>
      <c r="E414" s="30">
        <v>21992306854</v>
      </c>
      <c r="F414" s="31" t="s">
        <v>12</v>
      </c>
      <c r="G414" s="31" t="s">
        <v>1959</v>
      </c>
      <c r="H414" s="77" t="s">
        <v>2219</v>
      </c>
      <c r="I414" s="31">
        <f>VLOOKUP(H414,PACOTES!B:E,4,FALSE)</f>
        <v>7</v>
      </c>
      <c r="J414" s="77" t="s">
        <v>419</v>
      </c>
      <c r="K414" s="32">
        <v>0</v>
      </c>
      <c r="L414" s="32">
        <v>0</v>
      </c>
      <c r="M414" s="108">
        <v>0</v>
      </c>
      <c r="N414" s="32"/>
      <c r="O414" s="32"/>
      <c r="P414" s="32"/>
    </row>
    <row r="415" spans="1:16">
      <c r="A415" s="59" t="s">
        <v>2214</v>
      </c>
      <c r="B415" s="38">
        <v>44810</v>
      </c>
      <c r="C415" s="38">
        <v>44810</v>
      </c>
      <c r="D415" s="39" t="s">
        <v>2182</v>
      </c>
      <c r="E415" s="40" t="s">
        <v>2183</v>
      </c>
      <c r="F415" s="39" t="s">
        <v>11</v>
      </c>
      <c r="G415" s="39" t="s">
        <v>1827</v>
      </c>
      <c r="H415" s="77" t="s">
        <v>2219</v>
      </c>
      <c r="I415" s="31">
        <f>VLOOKUP(H415,PACOTES!B:E,4,FALSE)</f>
        <v>7</v>
      </c>
      <c r="J415" s="77" t="s">
        <v>134</v>
      </c>
      <c r="K415" s="41">
        <v>2639.42</v>
      </c>
      <c r="L415" s="41">
        <v>2639.42</v>
      </c>
      <c r="M415" s="108">
        <v>0</v>
      </c>
      <c r="N415" s="41"/>
      <c r="O415" s="41"/>
      <c r="P415" s="41"/>
    </row>
    <row r="416" spans="1:16">
      <c r="A416" s="57">
        <v>317</v>
      </c>
      <c r="B416" s="37">
        <v>44811</v>
      </c>
      <c r="C416" s="28">
        <v>44811</v>
      </c>
      <c r="D416" s="29" t="s">
        <v>1199</v>
      </c>
      <c r="E416" s="30">
        <v>21992140417</v>
      </c>
      <c r="F416" s="31" t="s">
        <v>10</v>
      </c>
      <c r="G416" s="31" t="s">
        <v>1720</v>
      </c>
      <c r="H416" s="77" t="s">
        <v>2222</v>
      </c>
      <c r="I416" s="31">
        <f>VLOOKUP(H416,PACOTES!B:E,4,FALSE)</f>
        <v>4</v>
      </c>
      <c r="J416" s="77" t="s">
        <v>134</v>
      </c>
      <c r="K416" s="32">
        <v>3800</v>
      </c>
      <c r="L416" s="32">
        <v>3800</v>
      </c>
      <c r="M416" s="108">
        <v>0</v>
      </c>
      <c r="N416" s="32"/>
      <c r="O416" s="32"/>
      <c r="P416" s="32"/>
    </row>
    <row r="417" spans="1:16">
      <c r="A417" s="57" t="s">
        <v>13</v>
      </c>
      <c r="B417" s="37">
        <v>44816</v>
      </c>
      <c r="C417" s="28">
        <v>44816</v>
      </c>
      <c r="D417" s="29" t="s">
        <v>2184</v>
      </c>
      <c r="E417" s="30" t="s">
        <v>13</v>
      </c>
      <c r="F417" s="31" t="s">
        <v>11</v>
      </c>
      <c r="G417" s="31" t="s">
        <v>1827</v>
      </c>
      <c r="H417" s="77" t="s">
        <v>2219</v>
      </c>
      <c r="I417" s="31">
        <f>VLOOKUP(H417,PACOTES!B:E,4,FALSE)</f>
        <v>7</v>
      </c>
      <c r="J417" s="77" t="s">
        <v>134</v>
      </c>
      <c r="K417" s="32">
        <v>2800</v>
      </c>
      <c r="L417" s="32">
        <v>2800</v>
      </c>
      <c r="M417" s="108">
        <v>0</v>
      </c>
      <c r="N417" s="32"/>
      <c r="O417" s="32"/>
      <c r="P417" s="32"/>
    </row>
    <row r="418" spans="1:16">
      <c r="A418" s="57">
        <v>263</v>
      </c>
      <c r="B418" s="37">
        <v>44818</v>
      </c>
      <c r="C418" s="28">
        <v>44818</v>
      </c>
      <c r="D418" s="29" t="s">
        <v>1861</v>
      </c>
      <c r="E418" s="30">
        <v>21986182721</v>
      </c>
      <c r="F418" s="31" t="s">
        <v>10</v>
      </c>
      <c r="G418" s="31" t="s">
        <v>1862</v>
      </c>
      <c r="H418" s="77" t="s">
        <v>2224</v>
      </c>
      <c r="I418" s="31">
        <f>VLOOKUP(H418,PACOTES!B:E,4,FALSE)</f>
        <v>2</v>
      </c>
      <c r="J418" s="77" t="s">
        <v>134</v>
      </c>
      <c r="K418" s="32">
        <v>3900</v>
      </c>
      <c r="L418" s="32">
        <v>3900</v>
      </c>
      <c r="M418" s="108">
        <v>0</v>
      </c>
      <c r="N418" s="32"/>
      <c r="O418" s="32"/>
      <c r="P418" s="32"/>
    </row>
    <row r="419" spans="1:16">
      <c r="A419" s="57">
        <v>361</v>
      </c>
      <c r="B419" s="37">
        <v>44820</v>
      </c>
      <c r="C419" s="28">
        <v>44820</v>
      </c>
      <c r="D419" s="29" t="s">
        <v>2023</v>
      </c>
      <c r="E419" s="30">
        <v>21996106541</v>
      </c>
      <c r="F419" s="31" t="s">
        <v>10</v>
      </c>
      <c r="G419" s="31" t="s">
        <v>1845</v>
      </c>
      <c r="H419" s="77" t="s">
        <v>2219</v>
      </c>
      <c r="I419" s="31">
        <f>VLOOKUP(H419,PACOTES!B:E,4,FALSE)</f>
        <v>7</v>
      </c>
      <c r="J419" s="77" t="s">
        <v>134</v>
      </c>
      <c r="K419" s="32">
        <v>4100</v>
      </c>
      <c r="L419" s="32">
        <v>4100</v>
      </c>
      <c r="M419" s="108">
        <v>0</v>
      </c>
      <c r="N419" s="32"/>
      <c r="O419" s="32"/>
      <c r="P419" s="32"/>
    </row>
    <row r="420" spans="1:16" s="15" customFormat="1">
      <c r="A420" s="57">
        <v>509</v>
      </c>
      <c r="B420" s="37">
        <v>44821</v>
      </c>
      <c r="C420" s="28">
        <v>44821</v>
      </c>
      <c r="D420" s="29" t="s">
        <v>1429</v>
      </c>
      <c r="E420" s="30">
        <v>44999261671</v>
      </c>
      <c r="F420" s="31" t="s">
        <v>11</v>
      </c>
      <c r="G420" s="31" t="s">
        <v>1438</v>
      </c>
      <c r="H420" s="77" t="s">
        <v>2219</v>
      </c>
      <c r="I420" s="31">
        <f>VLOOKUP(H420,PACOTES!B:E,4,FALSE)</f>
        <v>7</v>
      </c>
      <c r="J420" s="77" t="s">
        <v>419</v>
      </c>
      <c r="K420" s="32">
        <v>2267.9899999999998</v>
      </c>
      <c r="L420" s="32">
        <v>2267.9899999999998</v>
      </c>
      <c r="M420" s="108">
        <v>0</v>
      </c>
      <c r="N420" s="32"/>
      <c r="O420" s="32"/>
      <c r="P420" s="32"/>
    </row>
    <row r="421" spans="1:16">
      <c r="A421" s="57">
        <v>480</v>
      </c>
      <c r="B421" s="37">
        <v>44826</v>
      </c>
      <c r="C421" s="28">
        <v>44826</v>
      </c>
      <c r="D421" s="29" t="s">
        <v>1308</v>
      </c>
      <c r="E421" s="30">
        <v>16999753678</v>
      </c>
      <c r="F421" s="31" t="s">
        <v>10</v>
      </c>
      <c r="G421" s="31" t="s">
        <v>1309</v>
      </c>
      <c r="H421" s="77" t="s">
        <v>2220</v>
      </c>
      <c r="I421" s="31">
        <f>VLOOKUP(H421,PACOTES!B:E,4,FALSE)</f>
        <v>6</v>
      </c>
      <c r="J421" s="77" t="s">
        <v>134</v>
      </c>
      <c r="K421" s="32">
        <v>4600</v>
      </c>
      <c r="L421" s="32">
        <v>4600</v>
      </c>
      <c r="M421" s="108">
        <v>0</v>
      </c>
      <c r="N421" s="32"/>
      <c r="O421" s="32"/>
      <c r="P421" s="32"/>
    </row>
    <row r="422" spans="1:16">
      <c r="A422" s="57">
        <v>483</v>
      </c>
      <c r="B422" s="37">
        <v>44827</v>
      </c>
      <c r="C422" s="28">
        <v>44827</v>
      </c>
      <c r="D422" s="29" t="s">
        <v>1289</v>
      </c>
      <c r="E422" s="30">
        <v>19991037604</v>
      </c>
      <c r="F422" s="31" t="s">
        <v>11</v>
      </c>
      <c r="G422" s="31" t="s">
        <v>11</v>
      </c>
      <c r="H422" s="31" t="s">
        <v>1324</v>
      </c>
      <c r="I422" s="31"/>
      <c r="J422" s="77" t="s">
        <v>419</v>
      </c>
      <c r="K422" s="32">
        <v>0</v>
      </c>
      <c r="L422" s="32">
        <v>0</v>
      </c>
      <c r="M422" s="108">
        <v>0</v>
      </c>
      <c r="N422" s="32"/>
      <c r="O422" s="32"/>
      <c r="P422" s="32"/>
    </row>
    <row r="423" spans="1:16">
      <c r="A423" s="57">
        <v>162</v>
      </c>
      <c r="B423" s="37">
        <v>44827</v>
      </c>
      <c r="C423" s="28">
        <v>44827</v>
      </c>
      <c r="D423" s="29" t="s">
        <v>1690</v>
      </c>
      <c r="E423" s="30">
        <v>21975945112</v>
      </c>
      <c r="F423" s="31" t="s">
        <v>13</v>
      </c>
      <c r="G423" s="31" t="s">
        <v>13</v>
      </c>
      <c r="H423" s="31" t="s">
        <v>1324</v>
      </c>
      <c r="I423" s="31"/>
      <c r="J423" s="77" t="s">
        <v>419</v>
      </c>
      <c r="K423" s="32">
        <v>0</v>
      </c>
      <c r="L423" s="32">
        <v>0</v>
      </c>
      <c r="M423" s="108">
        <v>0</v>
      </c>
      <c r="N423" s="32"/>
      <c r="O423" s="32"/>
      <c r="P423" s="32"/>
    </row>
    <row r="424" spans="1:16">
      <c r="A424" s="57">
        <v>171</v>
      </c>
      <c r="B424" s="37">
        <v>44827</v>
      </c>
      <c r="C424" s="28">
        <v>44827</v>
      </c>
      <c r="D424" s="29" t="s">
        <v>1701</v>
      </c>
      <c r="E424" s="30">
        <v>21977176139</v>
      </c>
      <c r="F424" s="31" t="s">
        <v>11</v>
      </c>
      <c r="G424" s="31" t="s">
        <v>1437</v>
      </c>
      <c r="H424" s="77" t="s">
        <v>2220</v>
      </c>
      <c r="I424" s="31">
        <f>VLOOKUP(H424,PACOTES!B:E,4,FALSE)</f>
        <v>6</v>
      </c>
      <c r="J424" s="77" t="s">
        <v>419</v>
      </c>
      <c r="K424" s="32">
        <v>2370</v>
      </c>
      <c r="L424" s="32">
        <v>2370</v>
      </c>
      <c r="M424" s="108">
        <v>0</v>
      </c>
      <c r="N424" s="32"/>
      <c r="O424" s="32"/>
      <c r="P424" s="32"/>
    </row>
    <row r="425" spans="1:16">
      <c r="A425" s="57">
        <v>435</v>
      </c>
      <c r="B425" s="37">
        <v>44833</v>
      </c>
      <c r="C425" s="28">
        <v>44837</v>
      </c>
      <c r="D425" s="29" t="s">
        <v>2113</v>
      </c>
      <c r="E425" s="30">
        <v>24981824706</v>
      </c>
      <c r="F425" s="31" t="s">
        <v>11</v>
      </c>
      <c r="G425" s="31" t="s">
        <v>2114</v>
      </c>
      <c r="H425" s="77" t="s">
        <v>2221</v>
      </c>
      <c r="I425" s="31">
        <f>VLOOKUP(H425,PACOTES!B:E,4,FALSE)</f>
        <v>5</v>
      </c>
      <c r="J425" s="77" t="s">
        <v>134</v>
      </c>
      <c r="K425" s="32">
        <v>2730.01</v>
      </c>
      <c r="L425" s="32">
        <v>2730.01</v>
      </c>
      <c r="M425" s="108">
        <v>0</v>
      </c>
      <c r="N425" s="32"/>
      <c r="O425" s="32"/>
      <c r="P425" s="32"/>
    </row>
    <row r="426" spans="1:16">
      <c r="A426" s="57">
        <v>556</v>
      </c>
      <c r="B426" s="37">
        <v>44841</v>
      </c>
      <c r="C426" s="28">
        <v>44841</v>
      </c>
      <c r="D426" s="29" t="s">
        <v>1596</v>
      </c>
      <c r="E426" s="35">
        <v>98981718200</v>
      </c>
      <c r="F426" s="31" t="s">
        <v>10</v>
      </c>
      <c r="G426" s="31" t="s">
        <v>1597</v>
      </c>
      <c r="H426" s="77" t="s">
        <v>2224</v>
      </c>
      <c r="I426" s="31">
        <f>VLOOKUP(H426,PACOTES!B:E,4,FALSE)</f>
        <v>2</v>
      </c>
      <c r="J426" s="77" t="s">
        <v>134</v>
      </c>
      <c r="K426" s="32">
        <v>4202</v>
      </c>
      <c r="L426" s="32">
        <v>4202</v>
      </c>
      <c r="M426" s="108">
        <v>0</v>
      </c>
      <c r="N426" s="32"/>
      <c r="O426" s="32"/>
      <c r="P426" s="32"/>
    </row>
    <row r="427" spans="1:16">
      <c r="A427" s="57" t="s">
        <v>13</v>
      </c>
      <c r="B427" s="37">
        <v>44845</v>
      </c>
      <c r="C427" s="28">
        <v>44845</v>
      </c>
      <c r="D427" s="29" t="s">
        <v>2185</v>
      </c>
      <c r="E427" s="30" t="s">
        <v>13</v>
      </c>
      <c r="F427" s="31" t="s">
        <v>11</v>
      </c>
      <c r="G427" s="31" t="s">
        <v>11</v>
      </c>
      <c r="H427" s="77" t="s">
        <v>2220</v>
      </c>
      <c r="I427" s="31">
        <f>VLOOKUP(H427,PACOTES!B:E,4,FALSE)</f>
        <v>6</v>
      </c>
      <c r="J427" s="77" t="s">
        <v>419</v>
      </c>
      <c r="K427" s="32">
        <v>2267.9899999999998</v>
      </c>
      <c r="L427" s="32">
        <v>2267.9899999999998</v>
      </c>
      <c r="M427" s="108">
        <v>0</v>
      </c>
      <c r="N427" s="32"/>
      <c r="O427" s="32"/>
      <c r="P427" s="32"/>
    </row>
    <row r="428" spans="1:16">
      <c r="A428" s="57">
        <v>504</v>
      </c>
      <c r="B428" s="37">
        <v>44852</v>
      </c>
      <c r="C428" s="28">
        <v>44852</v>
      </c>
      <c r="D428" s="29" t="s">
        <v>1421</v>
      </c>
      <c r="E428" s="35">
        <v>41996152233</v>
      </c>
      <c r="F428" s="31" t="s">
        <v>11</v>
      </c>
      <c r="G428" s="31" t="s">
        <v>1422</v>
      </c>
      <c r="H428" s="77" t="s">
        <v>2220</v>
      </c>
      <c r="I428" s="31">
        <f>VLOOKUP(H428,PACOTES!B:E,4,FALSE)</f>
        <v>6</v>
      </c>
      <c r="J428" s="77" t="s">
        <v>134</v>
      </c>
      <c r="K428" s="32">
        <v>2699</v>
      </c>
      <c r="L428" s="32">
        <v>2699</v>
      </c>
      <c r="M428" s="108">
        <v>0</v>
      </c>
      <c r="N428" s="32"/>
      <c r="O428" s="32"/>
      <c r="P428" s="32"/>
    </row>
    <row r="429" spans="1:16">
      <c r="A429" s="57" t="s">
        <v>13</v>
      </c>
      <c r="B429" s="37">
        <v>44853</v>
      </c>
      <c r="C429" s="28">
        <v>44853</v>
      </c>
      <c r="D429" s="29" t="s">
        <v>2186</v>
      </c>
      <c r="E429" s="30" t="s">
        <v>13</v>
      </c>
      <c r="F429" s="31" t="s">
        <v>11</v>
      </c>
      <c r="G429" s="31" t="s">
        <v>1668</v>
      </c>
      <c r="H429" s="77" t="s">
        <v>2220</v>
      </c>
      <c r="I429" s="31">
        <f>VLOOKUP(H429,PACOTES!B:E,4,FALSE)</f>
        <v>6</v>
      </c>
      <c r="J429" s="77" t="s">
        <v>134</v>
      </c>
      <c r="K429" s="32">
        <v>2702.64</v>
      </c>
      <c r="L429" s="32">
        <v>2702.64</v>
      </c>
      <c r="M429" s="108">
        <v>0</v>
      </c>
      <c r="N429" s="32"/>
      <c r="O429" s="32"/>
      <c r="P429" s="32"/>
    </row>
    <row r="430" spans="1:16">
      <c r="A430" s="57">
        <v>437</v>
      </c>
      <c r="B430" s="37">
        <v>44855</v>
      </c>
      <c r="C430" s="28">
        <v>44855</v>
      </c>
      <c r="D430" s="29" t="s">
        <v>2117</v>
      </c>
      <c r="E430" s="30">
        <v>24988057664</v>
      </c>
      <c r="F430" s="31" t="s">
        <v>10</v>
      </c>
      <c r="G430" s="31" t="s">
        <v>2118</v>
      </c>
      <c r="H430" s="77" t="s">
        <v>2220</v>
      </c>
      <c r="I430" s="31">
        <f>VLOOKUP(H430,PACOTES!B:E,4,FALSE)</f>
        <v>6</v>
      </c>
      <c r="J430" s="77" t="s">
        <v>134</v>
      </c>
      <c r="K430" s="32">
        <v>3800</v>
      </c>
      <c r="L430" s="32">
        <v>3800</v>
      </c>
      <c r="M430" s="108">
        <v>0</v>
      </c>
      <c r="N430" s="32"/>
      <c r="O430" s="32"/>
      <c r="P430" s="32"/>
    </row>
    <row r="431" spans="1:16">
      <c r="A431" s="57">
        <v>467</v>
      </c>
      <c r="B431" s="37">
        <v>44859</v>
      </c>
      <c r="C431" s="28">
        <v>44859</v>
      </c>
      <c r="D431" s="29" t="s">
        <v>1256</v>
      </c>
      <c r="E431" s="35">
        <v>11994002382</v>
      </c>
      <c r="F431" s="31" t="s">
        <v>11</v>
      </c>
      <c r="G431" s="31" t="s">
        <v>1257</v>
      </c>
      <c r="H431" s="77" t="s">
        <v>2220</v>
      </c>
      <c r="I431" s="31">
        <f>VLOOKUP(H431,PACOTES!B:E,4,FALSE)</f>
        <v>6</v>
      </c>
      <c r="J431" s="77" t="s">
        <v>134</v>
      </c>
      <c r="K431" s="32">
        <v>2516.34</v>
      </c>
      <c r="L431" s="32">
        <v>2516.34</v>
      </c>
      <c r="M431" s="108">
        <v>0</v>
      </c>
      <c r="N431" s="32"/>
      <c r="O431" s="32"/>
      <c r="P431" s="32"/>
    </row>
    <row r="432" spans="1:16">
      <c r="A432" s="57">
        <v>478</v>
      </c>
      <c r="B432" s="37">
        <v>44859</v>
      </c>
      <c r="C432" s="28">
        <v>44859</v>
      </c>
      <c r="D432" s="29" t="s">
        <v>1300</v>
      </c>
      <c r="E432" s="35">
        <v>16982172301</v>
      </c>
      <c r="F432" s="31" t="s">
        <v>11</v>
      </c>
      <c r="G432" s="31" t="s">
        <v>1273</v>
      </c>
      <c r="H432" s="77" t="s">
        <v>2220</v>
      </c>
      <c r="I432" s="31">
        <f>VLOOKUP(H432,PACOTES!B:E,4,FALSE)</f>
        <v>6</v>
      </c>
      <c r="J432" s="77" t="s">
        <v>134</v>
      </c>
      <c r="K432" s="32">
        <v>2519.9899999999998</v>
      </c>
      <c r="L432" s="32">
        <v>2519.9899999999998</v>
      </c>
      <c r="M432" s="108">
        <v>0</v>
      </c>
      <c r="N432" s="32"/>
      <c r="O432" s="32"/>
      <c r="P432" s="32"/>
    </row>
    <row r="433" spans="1:16">
      <c r="A433" s="57">
        <v>10</v>
      </c>
      <c r="B433" s="37">
        <v>44862</v>
      </c>
      <c r="C433" s="28">
        <v>44862</v>
      </c>
      <c r="D433" s="29" t="s">
        <v>1217</v>
      </c>
      <c r="E433" s="30">
        <v>21964102465</v>
      </c>
      <c r="F433" s="31" t="s">
        <v>10</v>
      </c>
      <c r="G433" s="31" t="s">
        <v>1218</v>
      </c>
      <c r="H433" s="77" t="s">
        <v>2220</v>
      </c>
      <c r="I433" s="31">
        <f>VLOOKUP(H433,PACOTES!B:E,4,FALSE)</f>
        <v>6</v>
      </c>
      <c r="J433" s="77" t="s">
        <v>134</v>
      </c>
      <c r="K433" s="32">
        <v>6500</v>
      </c>
      <c r="L433" s="32">
        <v>6500</v>
      </c>
      <c r="M433" s="108">
        <v>0</v>
      </c>
      <c r="N433" s="32"/>
      <c r="O433" s="32"/>
      <c r="P433" s="32"/>
    </row>
    <row r="434" spans="1:16">
      <c r="A434" s="57">
        <v>556</v>
      </c>
      <c r="B434" s="37">
        <v>44862</v>
      </c>
      <c r="C434" s="28">
        <v>44862</v>
      </c>
      <c r="D434" s="29" t="s">
        <v>1598</v>
      </c>
      <c r="E434" s="30">
        <v>98981718200</v>
      </c>
      <c r="F434" s="31" t="s">
        <v>10</v>
      </c>
      <c r="G434" s="31" t="s">
        <v>1218</v>
      </c>
      <c r="H434" s="77" t="s">
        <v>2224</v>
      </c>
      <c r="I434" s="31">
        <f>VLOOKUP(H434,PACOTES!B:E,4,FALSE)</f>
        <v>2</v>
      </c>
      <c r="J434" s="77" t="s">
        <v>134</v>
      </c>
      <c r="K434" s="32">
        <v>4400</v>
      </c>
      <c r="L434" s="32">
        <v>4400</v>
      </c>
      <c r="M434" s="108">
        <v>0</v>
      </c>
      <c r="N434" s="32"/>
      <c r="O434" s="32"/>
      <c r="P434" s="32"/>
    </row>
    <row r="435" spans="1:16">
      <c r="A435" s="57">
        <v>53</v>
      </c>
      <c r="B435" s="37">
        <v>44863</v>
      </c>
      <c r="C435" s="28">
        <v>44863</v>
      </c>
      <c r="D435" s="29" t="s">
        <v>1400</v>
      </c>
      <c r="E435" s="30">
        <v>21965023838</v>
      </c>
      <c r="F435" s="31" t="s">
        <v>10</v>
      </c>
      <c r="G435" s="31" t="s">
        <v>1408</v>
      </c>
      <c r="H435" s="77" t="s">
        <v>2221</v>
      </c>
      <c r="I435" s="31">
        <f>VLOOKUP(H435,PACOTES!B:E,4,FALSE)</f>
        <v>5</v>
      </c>
      <c r="J435" s="77" t="s">
        <v>134</v>
      </c>
      <c r="K435" s="32">
        <v>3500</v>
      </c>
      <c r="L435" s="32">
        <v>3500</v>
      </c>
      <c r="M435" s="108">
        <v>0</v>
      </c>
      <c r="N435" s="32"/>
      <c r="O435" s="32"/>
      <c r="P435" s="32"/>
    </row>
    <row r="436" spans="1:16">
      <c r="A436" s="57">
        <v>368</v>
      </c>
      <c r="B436" s="37">
        <v>44865</v>
      </c>
      <c r="C436" s="28">
        <v>44865</v>
      </c>
      <c r="D436" s="29" t="s">
        <v>2035</v>
      </c>
      <c r="E436" s="35">
        <v>21996708138</v>
      </c>
      <c r="F436" s="31" t="s">
        <v>10</v>
      </c>
      <c r="G436" s="31" t="s">
        <v>1655</v>
      </c>
      <c r="H436" s="77" t="s">
        <v>2220</v>
      </c>
      <c r="I436" s="31">
        <f>VLOOKUP(H436,PACOTES!B:E,4,FALSE)</f>
        <v>6</v>
      </c>
      <c r="J436" s="77" t="s">
        <v>134</v>
      </c>
      <c r="K436" s="32">
        <v>3225.6</v>
      </c>
      <c r="L436" s="32">
        <v>3225.6</v>
      </c>
      <c r="M436" s="108">
        <v>0</v>
      </c>
      <c r="N436" s="32"/>
      <c r="O436" s="32"/>
      <c r="P436" s="32"/>
    </row>
    <row r="437" spans="1:16">
      <c r="A437" s="57">
        <v>459</v>
      </c>
      <c r="B437" s="37">
        <v>44874</v>
      </c>
      <c r="C437" s="37">
        <v>44874</v>
      </c>
      <c r="D437" s="29" t="s">
        <v>1221</v>
      </c>
      <c r="E437" s="35">
        <v>11953165667</v>
      </c>
      <c r="F437" s="31" t="s">
        <v>11</v>
      </c>
      <c r="G437" s="31" t="s">
        <v>1222</v>
      </c>
      <c r="H437" s="77" t="s">
        <v>2220</v>
      </c>
      <c r="I437" s="31">
        <f>VLOOKUP(H437,PACOTES!B:E,4,FALSE)</f>
        <v>6</v>
      </c>
      <c r="J437" s="77" t="s">
        <v>419</v>
      </c>
      <c r="K437" s="32">
        <v>2267.9899999999998</v>
      </c>
      <c r="L437" s="32">
        <v>2267.9899999999998</v>
      </c>
      <c r="M437" s="108">
        <v>0</v>
      </c>
      <c r="N437" s="32"/>
      <c r="O437" s="32"/>
      <c r="P437" s="32"/>
    </row>
    <row r="438" spans="1:16">
      <c r="A438" s="57">
        <v>58</v>
      </c>
      <c r="B438" s="37">
        <v>44881</v>
      </c>
      <c r="C438" s="28">
        <v>44881</v>
      </c>
      <c r="D438" s="29" t="s">
        <v>1427</v>
      </c>
      <c r="E438" s="35">
        <v>21965371716</v>
      </c>
      <c r="F438" s="31" t="s">
        <v>10</v>
      </c>
      <c r="G438" s="31" t="s">
        <v>1428</v>
      </c>
      <c r="H438" s="77" t="s">
        <v>2220</v>
      </c>
      <c r="I438" s="31">
        <f>VLOOKUP(H438,PACOTES!B:E,4,FALSE)</f>
        <v>6</v>
      </c>
      <c r="J438" s="77" t="s">
        <v>134</v>
      </c>
      <c r="K438" s="32">
        <v>4900</v>
      </c>
      <c r="L438" s="32">
        <v>4900</v>
      </c>
      <c r="M438" s="108">
        <v>0</v>
      </c>
      <c r="N438" s="32"/>
      <c r="O438" s="32"/>
      <c r="P438" s="32"/>
    </row>
    <row r="439" spans="1:16">
      <c r="A439" s="57">
        <v>210</v>
      </c>
      <c r="B439" s="37">
        <v>44881</v>
      </c>
      <c r="C439" s="28">
        <v>44881</v>
      </c>
      <c r="D439" s="29" t="s">
        <v>1765</v>
      </c>
      <c r="E439" s="35">
        <v>21981670705</v>
      </c>
      <c r="F439" s="31" t="s">
        <v>11</v>
      </c>
      <c r="G439" s="31" t="s">
        <v>1668</v>
      </c>
      <c r="H439" s="77" t="s">
        <v>2222</v>
      </c>
      <c r="I439" s="31">
        <f>VLOOKUP(H439,PACOTES!B:E,4,FALSE)</f>
        <v>4</v>
      </c>
      <c r="J439" s="77" t="s">
        <v>134</v>
      </c>
      <c r="K439" s="32">
        <v>2520</v>
      </c>
      <c r="L439" s="32">
        <v>2520</v>
      </c>
      <c r="M439" s="108">
        <v>0</v>
      </c>
      <c r="N439" s="32"/>
      <c r="O439" s="32"/>
      <c r="P439" s="32"/>
    </row>
    <row r="440" spans="1:16">
      <c r="A440" s="57">
        <v>6</v>
      </c>
      <c r="B440" s="37">
        <v>44885</v>
      </c>
      <c r="C440" s="28">
        <v>44885</v>
      </c>
      <c r="D440" s="29" t="s">
        <v>1202</v>
      </c>
      <c r="E440" s="35">
        <v>21964059772</v>
      </c>
      <c r="F440" s="31" t="s">
        <v>10</v>
      </c>
      <c r="G440" s="31" t="s">
        <v>1203</v>
      </c>
      <c r="H440" s="77" t="s">
        <v>2220</v>
      </c>
      <c r="I440" s="31">
        <f>VLOOKUP(H440,PACOTES!B:E,4,FALSE)</f>
        <v>6</v>
      </c>
      <c r="J440" s="77" t="s">
        <v>419</v>
      </c>
      <c r="K440" s="32">
        <v>3225.6</v>
      </c>
      <c r="L440" s="32">
        <v>3225.6</v>
      </c>
      <c r="M440" s="108">
        <v>0</v>
      </c>
      <c r="N440" s="32"/>
      <c r="O440" s="32"/>
      <c r="P440" s="32"/>
    </row>
    <row r="441" spans="1:16" s="1" customFormat="1">
      <c r="A441" s="59" t="s">
        <v>2214</v>
      </c>
      <c r="B441" s="38">
        <v>44885</v>
      </c>
      <c r="C441" s="38">
        <v>44885</v>
      </c>
      <c r="D441" s="42" t="s">
        <v>2187</v>
      </c>
      <c r="E441" s="43" t="s">
        <v>2188</v>
      </c>
      <c r="F441" s="39" t="s">
        <v>11</v>
      </c>
      <c r="G441" s="39" t="s">
        <v>1222</v>
      </c>
      <c r="H441" s="77" t="s">
        <v>2220</v>
      </c>
      <c r="I441" s="31">
        <f>VLOOKUP(H441,PACOTES!B:E,4,FALSE)</f>
        <v>6</v>
      </c>
      <c r="J441" s="77" t="s">
        <v>419</v>
      </c>
      <c r="K441" s="41">
        <v>2267.9899999999998</v>
      </c>
      <c r="L441" s="41" t="s">
        <v>13</v>
      </c>
      <c r="M441" s="108">
        <v>0</v>
      </c>
      <c r="N441" s="41"/>
      <c r="O441" s="41"/>
      <c r="P441" s="41"/>
    </row>
    <row r="442" spans="1:16">
      <c r="A442" s="57">
        <v>146</v>
      </c>
      <c r="B442" s="37">
        <v>44893</v>
      </c>
      <c r="C442" s="28">
        <v>44893</v>
      </c>
      <c r="D442" s="29" t="s">
        <v>1667</v>
      </c>
      <c r="E442" s="35">
        <v>21974005898</v>
      </c>
      <c r="F442" s="31" t="s">
        <v>11</v>
      </c>
      <c r="G442" s="31" t="s">
        <v>1668</v>
      </c>
      <c r="H442" s="77" t="s">
        <v>2220</v>
      </c>
      <c r="I442" s="31">
        <f>VLOOKUP(H442,PACOTES!B:E,4,FALSE)</f>
        <v>6</v>
      </c>
      <c r="J442" s="77" t="s">
        <v>419</v>
      </c>
      <c r="K442" s="32">
        <v>2448.1</v>
      </c>
      <c r="L442" s="32">
        <v>2448.1</v>
      </c>
      <c r="M442" s="108">
        <v>0</v>
      </c>
      <c r="N442" s="32"/>
      <c r="O442" s="32"/>
      <c r="P442" s="32"/>
    </row>
    <row r="443" spans="1:16">
      <c r="A443" s="57">
        <v>370</v>
      </c>
      <c r="B443" s="37">
        <v>44893</v>
      </c>
      <c r="C443" s="28">
        <v>44893</v>
      </c>
      <c r="D443" s="29" t="s">
        <v>2037</v>
      </c>
      <c r="E443" s="35">
        <v>21996793074</v>
      </c>
      <c r="F443" s="31" t="s">
        <v>11</v>
      </c>
      <c r="G443" s="31" t="s">
        <v>1668</v>
      </c>
      <c r="H443" s="77" t="s">
        <v>2220</v>
      </c>
      <c r="I443" s="31">
        <f>VLOOKUP(H443,PACOTES!B:E,4,FALSE)</f>
        <v>6</v>
      </c>
      <c r="J443" s="77" t="s">
        <v>134</v>
      </c>
      <c r="K443" s="32">
        <v>2520</v>
      </c>
      <c r="L443" s="32">
        <v>2520</v>
      </c>
      <c r="M443" s="108">
        <v>0</v>
      </c>
      <c r="N443" s="32"/>
      <c r="O443" s="32"/>
      <c r="P443" s="32"/>
    </row>
    <row r="444" spans="1:16">
      <c r="A444" s="57" t="s">
        <v>13</v>
      </c>
      <c r="B444" s="37">
        <v>44894</v>
      </c>
      <c r="C444" s="28">
        <v>44894</v>
      </c>
      <c r="D444" s="29" t="s">
        <v>2189</v>
      </c>
      <c r="E444" s="30" t="s">
        <v>13</v>
      </c>
      <c r="F444" s="31" t="s">
        <v>11</v>
      </c>
      <c r="G444" s="31" t="s">
        <v>1532</v>
      </c>
      <c r="H444" s="77" t="s">
        <v>2220</v>
      </c>
      <c r="I444" s="31">
        <f>VLOOKUP(H444,PACOTES!B:E,4,FALSE)</f>
        <v>6</v>
      </c>
      <c r="J444" s="77" t="s">
        <v>419</v>
      </c>
      <c r="K444" s="32">
        <v>2267.9899999999998</v>
      </c>
      <c r="L444" s="32">
        <v>2267.9899999999998</v>
      </c>
      <c r="M444" s="108">
        <v>0</v>
      </c>
      <c r="N444" s="32"/>
      <c r="O444" s="32"/>
      <c r="P444" s="32"/>
    </row>
    <row r="445" spans="1:16" s="13" customFormat="1">
      <c r="A445" s="57">
        <v>29</v>
      </c>
      <c r="B445" s="37">
        <v>44895</v>
      </c>
      <c r="C445" s="37">
        <v>44897</v>
      </c>
      <c r="D445" s="29" t="s">
        <v>1298</v>
      </c>
      <c r="E445" s="30">
        <v>21964366334</v>
      </c>
      <c r="F445" s="31" t="s">
        <v>10</v>
      </c>
      <c r="G445" s="31" t="s">
        <v>1299</v>
      </c>
      <c r="H445" s="77" t="s">
        <v>2224</v>
      </c>
      <c r="I445" s="31">
        <f>VLOOKUP(H445,PACOTES!B:E,4,FALSE)</f>
        <v>2</v>
      </c>
      <c r="J445" s="77" t="s">
        <v>134</v>
      </c>
      <c r="K445" s="32">
        <v>4050</v>
      </c>
      <c r="L445" s="32">
        <v>4050</v>
      </c>
      <c r="M445" s="108">
        <v>0</v>
      </c>
      <c r="N445" s="32"/>
      <c r="O445" s="32"/>
      <c r="P445" s="32"/>
    </row>
    <row r="446" spans="1:16">
      <c r="A446" s="57">
        <v>40</v>
      </c>
      <c r="B446" s="37">
        <v>44895</v>
      </c>
      <c r="C446" s="37">
        <v>44904</v>
      </c>
      <c r="D446" s="29" t="s">
        <v>1340</v>
      </c>
      <c r="E446" s="30">
        <v>21964668823</v>
      </c>
      <c r="F446" s="31" t="s">
        <v>10</v>
      </c>
      <c r="G446" s="31" t="s">
        <v>1343</v>
      </c>
      <c r="H446" s="77" t="s">
        <v>2220</v>
      </c>
      <c r="I446" s="31">
        <f>VLOOKUP(H446,PACOTES!B:E,4,FALSE)</f>
        <v>6</v>
      </c>
      <c r="J446" s="77" t="s">
        <v>134</v>
      </c>
      <c r="K446" s="32">
        <v>4050</v>
      </c>
      <c r="L446" s="32">
        <v>4050</v>
      </c>
      <c r="M446" s="108">
        <v>0</v>
      </c>
      <c r="N446" s="32"/>
      <c r="O446" s="32"/>
      <c r="P446" s="32"/>
    </row>
    <row r="447" spans="1:16">
      <c r="A447" s="57">
        <v>89</v>
      </c>
      <c r="B447" s="37">
        <v>44895</v>
      </c>
      <c r="C447" s="28">
        <v>44897</v>
      </c>
      <c r="D447" s="29" t="s">
        <v>1530</v>
      </c>
      <c r="E447" s="30">
        <v>21969312169</v>
      </c>
      <c r="F447" s="31" t="s">
        <v>11</v>
      </c>
      <c r="G447" s="31" t="s">
        <v>1532</v>
      </c>
      <c r="H447" s="77" t="s">
        <v>2220</v>
      </c>
      <c r="I447" s="31">
        <f>VLOOKUP(H447,PACOTES!B:E,4,FALSE)</f>
        <v>6</v>
      </c>
      <c r="J447" s="77" t="s">
        <v>419</v>
      </c>
      <c r="K447" s="32">
        <v>2300</v>
      </c>
      <c r="L447" s="32">
        <v>2300</v>
      </c>
      <c r="M447" s="108">
        <v>0</v>
      </c>
      <c r="N447" s="32"/>
      <c r="O447" s="32"/>
      <c r="P447" s="32"/>
    </row>
    <row r="448" spans="1:16">
      <c r="A448" s="57" t="s">
        <v>13</v>
      </c>
      <c r="B448" s="37">
        <v>44896</v>
      </c>
      <c r="C448" s="28">
        <v>44904</v>
      </c>
      <c r="D448" s="29" t="s">
        <v>2190</v>
      </c>
      <c r="E448" s="30" t="s">
        <v>13</v>
      </c>
      <c r="F448" s="31" t="s">
        <v>11</v>
      </c>
      <c r="G448" s="31" t="s">
        <v>1183</v>
      </c>
      <c r="H448" s="77" t="s">
        <v>2220</v>
      </c>
      <c r="I448" s="31">
        <f>VLOOKUP(H448,PACOTES!B:E,4,FALSE)</f>
        <v>6</v>
      </c>
      <c r="J448" s="77" t="s">
        <v>419</v>
      </c>
      <c r="K448" s="32">
        <v>2267.9899999999998</v>
      </c>
      <c r="L448" s="32" t="s">
        <v>13</v>
      </c>
      <c r="M448" s="108">
        <v>0</v>
      </c>
      <c r="N448" s="32"/>
      <c r="O448" s="32"/>
      <c r="P448" s="32"/>
    </row>
    <row r="449" spans="1:16">
      <c r="A449" s="57">
        <v>47</v>
      </c>
      <c r="B449" s="37">
        <v>44898</v>
      </c>
      <c r="C449" s="28">
        <v>44908</v>
      </c>
      <c r="D449" s="29" t="s">
        <v>1372</v>
      </c>
      <c r="E449" s="30">
        <v>21964500550</v>
      </c>
      <c r="F449" s="31" t="s">
        <v>10</v>
      </c>
      <c r="G449" s="31" t="s">
        <v>1373</v>
      </c>
      <c r="H449" s="77" t="s">
        <v>2226</v>
      </c>
      <c r="I449" s="31">
        <f>VLOOKUP(H449,PACOTES!B:E,4,FALSE)</f>
        <v>0</v>
      </c>
      <c r="J449" s="77" t="s">
        <v>419</v>
      </c>
      <c r="K449" s="32">
        <v>3400</v>
      </c>
      <c r="L449" s="32">
        <v>3400</v>
      </c>
      <c r="M449" s="108">
        <v>0</v>
      </c>
      <c r="N449" s="32"/>
      <c r="O449" s="32"/>
      <c r="P449" s="32"/>
    </row>
    <row r="450" spans="1:16">
      <c r="A450" s="57">
        <v>242</v>
      </c>
      <c r="B450" s="37">
        <v>44902</v>
      </c>
      <c r="C450" s="28">
        <v>44904</v>
      </c>
      <c r="D450" s="29" t="s">
        <v>1824</v>
      </c>
      <c r="E450" s="35">
        <v>21983540131</v>
      </c>
      <c r="F450" s="31" t="s">
        <v>11</v>
      </c>
      <c r="G450" s="31" t="s">
        <v>1825</v>
      </c>
      <c r="H450" s="77" t="s">
        <v>2221</v>
      </c>
      <c r="I450" s="31">
        <f>VLOOKUP(H450,PACOTES!B:E,4,FALSE)</f>
        <v>5</v>
      </c>
      <c r="J450" s="77" t="s">
        <v>134</v>
      </c>
      <c r="K450" s="32">
        <v>2650</v>
      </c>
      <c r="L450" s="32">
        <v>2650</v>
      </c>
      <c r="M450" s="108">
        <v>0</v>
      </c>
      <c r="N450" s="32"/>
      <c r="O450" s="32"/>
      <c r="P450" s="32"/>
    </row>
    <row r="451" spans="1:16">
      <c r="A451" s="57">
        <v>341</v>
      </c>
      <c r="B451" s="37">
        <v>44903</v>
      </c>
      <c r="C451" s="28">
        <v>44908</v>
      </c>
      <c r="D451" s="29" t="s">
        <v>1993</v>
      </c>
      <c r="E451" s="35">
        <v>21994777509</v>
      </c>
      <c r="F451" s="31" t="s">
        <v>11</v>
      </c>
      <c r="G451" s="31" t="s">
        <v>1994</v>
      </c>
      <c r="H451" s="77" t="s">
        <v>2221</v>
      </c>
      <c r="I451" s="31">
        <f>VLOOKUP(H451,PACOTES!B:E,4,FALSE)</f>
        <v>5</v>
      </c>
      <c r="J451" s="77" t="s">
        <v>134</v>
      </c>
      <c r="K451" s="32">
        <v>2800</v>
      </c>
      <c r="L451" s="32">
        <v>2800</v>
      </c>
      <c r="M451" s="108">
        <v>0</v>
      </c>
      <c r="N451" s="32"/>
      <c r="O451" s="32"/>
      <c r="P451" s="32"/>
    </row>
    <row r="452" spans="1:16">
      <c r="A452" s="57">
        <v>1</v>
      </c>
      <c r="B452" s="37">
        <v>44904</v>
      </c>
      <c r="C452" s="28">
        <v>44905</v>
      </c>
      <c r="D452" s="29" t="s">
        <v>1182</v>
      </c>
      <c r="E452" s="35">
        <v>21959570328</v>
      </c>
      <c r="F452" s="31" t="s">
        <v>11</v>
      </c>
      <c r="G452" s="31" t="s">
        <v>1183</v>
      </c>
      <c r="H452" s="77" t="s">
        <v>2220</v>
      </c>
      <c r="I452" s="31">
        <f>VLOOKUP(H452,PACOTES!B:E,4,FALSE)</f>
        <v>6</v>
      </c>
      <c r="J452" s="77" t="s">
        <v>419</v>
      </c>
      <c r="K452" s="32">
        <v>2300</v>
      </c>
      <c r="L452" s="32">
        <v>2300</v>
      </c>
      <c r="M452" s="108">
        <v>0</v>
      </c>
      <c r="N452" s="32"/>
      <c r="O452" s="32"/>
      <c r="P452" s="32"/>
    </row>
    <row r="453" spans="1:16" s="13" customFormat="1">
      <c r="A453" s="57">
        <v>457</v>
      </c>
      <c r="B453" s="37">
        <v>44905</v>
      </c>
      <c r="C453" s="37">
        <v>44907</v>
      </c>
      <c r="D453" s="29" t="s">
        <v>1213</v>
      </c>
      <c r="E453" s="35">
        <v>11948779296</v>
      </c>
      <c r="F453" s="31" t="s">
        <v>11</v>
      </c>
      <c r="G453" s="31" t="s">
        <v>1214</v>
      </c>
      <c r="H453" s="77" t="s">
        <v>2220</v>
      </c>
      <c r="I453" s="31">
        <f>VLOOKUP(H453,PACOTES!B:E,4,FALSE)</f>
        <v>6</v>
      </c>
      <c r="J453" s="77" t="s">
        <v>134</v>
      </c>
      <c r="K453" s="32">
        <v>2650</v>
      </c>
      <c r="L453" s="32">
        <v>2650</v>
      </c>
      <c r="M453" s="108">
        <v>0</v>
      </c>
      <c r="N453" s="32"/>
      <c r="O453" s="32"/>
      <c r="P453" s="32"/>
    </row>
    <row r="454" spans="1:16">
      <c r="A454" s="57">
        <v>16</v>
      </c>
      <c r="B454" s="37">
        <v>44905</v>
      </c>
      <c r="C454" s="28">
        <v>44911</v>
      </c>
      <c r="D454" s="29" t="s">
        <v>1242</v>
      </c>
      <c r="E454" s="30">
        <v>21964186831</v>
      </c>
      <c r="F454" s="31" t="s">
        <v>10</v>
      </c>
      <c r="G454" s="31" t="s">
        <v>1243</v>
      </c>
      <c r="H454" s="77" t="s">
        <v>2221</v>
      </c>
      <c r="I454" s="31">
        <f>VLOOKUP(H454,PACOTES!B:E,4,FALSE)</f>
        <v>5</v>
      </c>
      <c r="J454" s="77" t="s">
        <v>134</v>
      </c>
      <c r="K454" s="32">
        <v>4650</v>
      </c>
      <c r="L454" s="32">
        <v>4650</v>
      </c>
      <c r="M454" s="108">
        <v>0</v>
      </c>
      <c r="N454" s="32"/>
      <c r="O454" s="32"/>
      <c r="P454" s="32"/>
    </row>
    <row r="455" spans="1:16">
      <c r="A455" s="57">
        <v>240</v>
      </c>
      <c r="B455" s="37">
        <v>44905</v>
      </c>
      <c r="C455" s="28">
        <v>44915</v>
      </c>
      <c r="D455" s="29" t="s">
        <v>1819</v>
      </c>
      <c r="E455" s="30">
        <v>21983132910</v>
      </c>
      <c r="F455" s="31" t="s">
        <v>10</v>
      </c>
      <c r="G455" s="31" t="s">
        <v>1820</v>
      </c>
      <c r="H455" s="77" t="s">
        <v>2220</v>
      </c>
      <c r="I455" s="31">
        <f>VLOOKUP(H455,PACOTES!B:E,4,FALSE)</f>
        <v>6</v>
      </c>
      <c r="J455" s="77" t="s">
        <v>134</v>
      </c>
      <c r="K455" s="32">
        <v>4400</v>
      </c>
      <c r="L455" s="32">
        <v>4400</v>
      </c>
      <c r="M455" s="108">
        <v>0</v>
      </c>
      <c r="N455" s="32"/>
      <c r="O455" s="32"/>
      <c r="P455" s="32"/>
    </row>
    <row r="456" spans="1:16" s="13" customFormat="1">
      <c r="A456" s="57">
        <v>240</v>
      </c>
      <c r="B456" s="37">
        <v>44905</v>
      </c>
      <c r="C456" s="28">
        <v>44915</v>
      </c>
      <c r="D456" s="29" t="s">
        <v>1819</v>
      </c>
      <c r="E456" s="30">
        <v>21983132910</v>
      </c>
      <c r="F456" s="31" t="s">
        <v>7</v>
      </c>
      <c r="G456" s="31" t="s">
        <v>1821</v>
      </c>
      <c r="H456" s="77" t="s">
        <v>2214</v>
      </c>
      <c r="I456" s="31"/>
      <c r="J456" s="77" t="s">
        <v>2214</v>
      </c>
      <c r="K456" s="32">
        <v>2500</v>
      </c>
      <c r="L456" s="32">
        <v>2500</v>
      </c>
      <c r="M456" s="108">
        <v>0</v>
      </c>
      <c r="N456" s="104" t="s">
        <v>2214</v>
      </c>
      <c r="O456" s="32"/>
      <c r="P456" s="32"/>
    </row>
    <row r="457" spans="1:16">
      <c r="A457" s="57">
        <v>240</v>
      </c>
      <c r="B457" s="37">
        <v>44905</v>
      </c>
      <c r="C457" s="28">
        <v>44915</v>
      </c>
      <c r="D457" s="29" t="s">
        <v>1819</v>
      </c>
      <c r="E457" s="30">
        <v>21983132910</v>
      </c>
      <c r="F457" s="31" t="s">
        <v>7</v>
      </c>
      <c r="G457" s="31" t="s">
        <v>1822</v>
      </c>
      <c r="H457" s="77" t="s">
        <v>2214</v>
      </c>
      <c r="I457" s="31"/>
      <c r="J457" s="77" t="s">
        <v>2214</v>
      </c>
      <c r="K457" s="32">
        <v>2500</v>
      </c>
      <c r="L457" s="32">
        <v>2500</v>
      </c>
      <c r="M457" s="108">
        <v>0</v>
      </c>
      <c r="N457" s="104" t="s">
        <v>2214</v>
      </c>
      <c r="O457" s="32"/>
      <c r="P457" s="32"/>
    </row>
    <row r="458" spans="1:16">
      <c r="A458" s="57">
        <v>515</v>
      </c>
      <c r="B458" s="37">
        <v>44908</v>
      </c>
      <c r="C458" s="28">
        <v>44909</v>
      </c>
      <c r="D458" s="29" t="s">
        <v>1454</v>
      </c>
      <c r="E458" s="35">
        <v>48991554309</v>
      </c>
      <c r="F458" s="31" t="s">
        <v>11</v>
      </c>
      <c r="G458" s="31" t="s">
        <v>1455</v>
      </c>
      <c r="H458" s="77" t="s">
        <v>2220</v>
      </c>
      <c r="I458" s="31">
        <f>VLOOKUP(H458,PACOTES!B:E,4,FALSE)</f>
        <v>6</v>
      </c>
      <c r="J458" s="77" t="s">
        <v>419</v>
      </c>
      <c r="K458" s="32">
        <v>2300</v>
      </c>
      <c r="L458" s="32">
        <v>2300</v>
      </c>
      <c r="M458" s="108">
        <v>0</v>
      </c>
      <c r="N458" s="32"/>
      <c r="O458" s="32"/>
      <c r="P458" s="32"/>
    </row>
    <row r="459" spans="1:16">
      <c r="A459" s="57">
        <v>160</v>
      </c>
      <c r="B459" s="37">
        <v>44908</v>
      </c>
      <c r="C459" s="28">
        <v>44919</v>
      </c>
      <c r="D459" s="29" t="s">
        <v>1687</v>
      </c>
      <c r="E459" s="30">
        <v>21975602365</v>
      </c>
      <c r="F459" s="31" t="s">
        <v>10</v>
      </c>
      <c r="G459" s="31" t="s">
        <v>1599</v>
      </c>
      <c r="H459" s="77" t="s">
        <v>2220</v>
      </c>
      <c r="I459" s="31">
        <f>VLOOKUP(H459,PACOTES!B:E,4,FALSE)</f>
        <v>6</v>
      </c>
      <c r="J459" s="77" t="s">
        <v>134</v>
      </c>
      <c r="K459" s="32">
        <v>3900</v>
      </c>
      <c r="L459" s="32">
        <v>3900</v>
      </c>
      <c r="M459" s="108">
        <v>0</v>
      </c>
      <c r="N459" s="32"/>
      <c r="O459" s="32"/>
      <c r="P459" s="32"/>
    </row>
    <row r="460" spans="1:16">
      <c r="A460" s="57">
        <v>239</v>
      </c>
      <c r="B460" s="37">
        <v>44908</v>
      </c>
      <c r="C460" s="28">
        <v>44918</v>
      </c>
      <c r="D460" s="29" t="s">
        <v>1817</v>
      </c>
      <c r="E460" s="30">
        <v>21982988289</v>
      </c>
      <c r="F460" s="31" t="s">
        <v>10</v>
      </c>
      <c r="G460" s="31" t="s">
        <v>1818</v>
      </c>
      <c r="H460" s="77" t="s">
        <v>2220</v>
      </c>
      <c r="I460" s="31">
        <f>VLOOKUP(H460,PACOTES!B:E,4,FALSE)</f>
        <v>6</v>
      </c>
      <c r="J460" s="77" t="s">
        <v>419</v>
      </c>
      <c r="K460" s="32">
        <v>3450</v>
      </c>
      <c r="L460" s="32">
        <v>3450</v>
      </c>
      <c r="M460" s="108">
        <v>0</v>
      </c>
      <c r="N460" s="32"/>
      <c r="O460" s="32"/>
      <c r="P460" s="32"/>
    </row>
    <row r="461" spans="1:16">
      <c r="A461" s="57">
        <v>259</v>
      </c>
      <c r="B461" s="37">
        <v>44908</v>
      </c>
      <c r="C461" s="28">
        <v>44918</v>
      </c>
      <c r="D461" s="29" t="s">
        <v>1854</v>
      </c>
      <c r="E461" s="30">
        <v>21985598270</v>
      </c>
      <c r="F461" s="31" t="s">
        <v>10</v>
      </c>
      <c r="G461" s="31" t="s">
        <v>1762</v>
      </c>
      <c r="H461" s="77" t="s">
        <v>2221</v>
      </c>
      <c r="I461" s="31">
        <f>VLOOKUP(H461,PACOTES!B:E,4,FALSE)</f>
        <v>5</v>
      </c>
      <c r="J461" s="77" t="s">
        <v>134</v>
      </c>
      <c r="K461" s="32">
        <v>3500</v>
      </c>
      <c r="L461" s="32">
        <v>3500</v>
      </c>
      <c r="M461" s="108">
        <v>0</v>
      </c>
      <c r="N461" s="32"/>
      <c r="O461" s="32"/>
      <c r="P461" s="32"/>
    </row>
    <row r="462" spans="1:16">
      <c r="A462" s="57">
        <v>259</v>
      </c>
      <c r="B462" s="37">
        <v>44908</v>
      </c>
      <c r="C462" s="28">
        <v>44918</v>
      </c>
      <c r="D462" s="29" t="s">
        <v>1854</v>
      </c>
      <c r="E462" s="30">
        <v>21985598270</v>
      </c>
      <c r="F462" s="31" t="s">
        <v>10</v>
      </c>
      <c r="G462" s="31" t="s">
        <v>1855</v>
      </c>
      <c r="H462" s="77" t="s">
        <v>2221</v>
      </c>
      <c r="I462" s="31">
        <f>VLOOKUP(H462,PACOTES!B:E,4,FALSE)</f>
        <v>5</v>
      </c>
      <c r="J462" s="77" t="s">
        <v>134</v>
      </c>
      <c r="K462" s="32">
        <v>3700</v>
      </c>
      <c r="L462" s="32">
        <v>3700</v>
      </c>
      <c r="M462" s="108">
        <v>0</v>
      </c>
      <c r="N462" s="32"/>
      <c r="O462" s="32"/>
      <c r="P462" s="32"/>
    </row>
    <row r="463" spans="1:16">
      <c r="A463" s="57">
        <v>100</v>
      </c>
      <c r="B463" s="37">
        <v>44908</v>
      </c>
      <c r="C463" s="28">
        <v>44919</v>
      </c>
      <c r="D463" s="29" t="s">
        <v>1333</v>
      </c>
      <c r="E463" s="30">
        <v>21970055655</v>
      </c>
      <c r="F463" s="31" t="s">
        <v>10</v>
      </c>
      <c r="G463" s="31" t="s">
        <v>10</v>
      </c>
      <c r="H463" s="77" t="s">
        <v>2220</v>
      </c>
      <c r="I463" s="31">
        <f>VLOOKUP(H463,PACOTES!B:E,4,FALSE)</f>
        <v>6</v>
      </c>
      <c r="J463" s="77" t="s">
        <v>134</v>
      </c>
      <c r="K463" s="32">
        <v>3900</v>
      </c>
      <c r="L463" s="32">
        <v>3900</v>
      </c>
      <c r="M463" s="108">
        <v>0</v>
      </c>
      <c r="N463" s="32"/>
      <c r="O463" s="32"/>
      <c r="P463" s="32"/>
    </row>
    <row r="464" spans="1:16">
      <c r="A464" s="57">
        <v>487</v>
      </c>
      <c r="B464" s="37">
        <v>44909</v>
      </c>
      <c r="C464" s="37">
        <v>44911</v>
      </c>
      <c r="D464" s="29" t="s">
        <v>1336</v>
      </c>
      <c r="E464" s="35">
        <v>31971091797</v>
      </c>
      <c r="F464" s="31" t="s">
        <v>11</v>
      </c>
      <c r="G464" s="31" t="s">
        <v>1337</v>
      </c>
      <c r="H464" s="77" t="s">
        <v>2220</v>
      </c>
      <c r="I464" s="31">
        <f>VLOOKUP(H464,PACOTES!B:E,4,FALSE)</f>
        <v>6</v>
      </c>
      <c r="J464" s="77" t="s">
        <v>134</v>
      </c>
      <c r="K464" s="32">
        <v>2800</v>
      </c>
      <c r="L464" s="32">
        <v>2800</v>
      </c>
      <c r="M464" s="108">
        <v>0</v>
      </c>
      <c r="N464" s="32"/>
      <c r="O464" s="32"/>
      <c r="P464" s="32"/>
    </row>
    <row r="465" spans="1:16">
      <c r="A465" s="57">
        <v>52</v>
      </c>
      <c r="B465" s="37">
        <v>44909</v>
      </c>
      <c r="C465" s="37">
        <v>44915</v>
      </c>
      <c r="D465" s="29" t="s">
        <v>1398</v>
      </c>
      <c r="E465" s="35">
        <v>21964986142</v>
      </c>
      <c r="F465" s="31" t="s">
        <v>11</v>
      </c>
      <c r="G465" s="31" t="s">
        <v>1399</v>
      </c>
      <c r="H465" s="77" t="s">
        <v>2225</v>
      </c>
      <c r="I465" s="31">
        <f>VLOOKUP(H465,PACOTES!B:E,4,FALSE)</f>
        <v>1</v>
      </c>
      <c r="J465" s="77" t="s">
        <v>134</v>
      </c>
      <c r="K465" s="32">
        <v>2800</v>
      </c>
      <c r="L465" s="32">
        <v>2800</v>
      </c>
      <c r="M465" s="108">
        <v>0</v>
      </c>
      <c r="N465" s="32"/>
      <c r="O465" s="32"/>
      <c r="P465" s="32"/>
    </row>
    <row r="466" spans="1:16">
      <c r="A466" s="57">
        <v>188</v>
      </c>
      <c r="B466" s="37">
        <v>44909</v>
      </c>
      <c r="C466" s="28">
        <v>44910</v>
      </c>
      <c r="D466" s="29" t="s">
        <v>1622</v>
      </c>
      <c r="E466" s="35">
        <v>21980461413</v>
      </c>
      <c r="F466" s="31" t="s">
        <v>11</v>
      </c>
      <c r="G466" s="31" t="s">
        <v>1732</v>
      </c>
      <c r="H466" s="77" t="s">
        <v>2221</v>
      </c>
      <c r="I466" s="31">
        <f>VLOOKUP(H466,PACOTES!B:E,4,FALSE)</f>
        <v>5</v>
      </c>
      <c r="J466" s="77" t="s">
        <v>134</v>
      </c>
      <c r="K466" s="32">
        <v>2800</v>
      </c>
      <c r="L466" s="32">
        <v>2800</v>
      </c>
      <c r="M466" s="108">
        <v>0</v>
      </c>
      <c r="N466" s="32"/>
      <c r="O466" s="32"/>
      <c r="P466" s="32"/>
    </row>
    <row r="467" spans="1:16">
      <c r="A467" s="57">
        <v>108</v>
      </c>
      <c r="B467" s="37">
        <v>44915</v>
      </c>
      <c r="C467" s="28">
        <v>44919</v>
      </c>
      <c r="D467" s="29" t="s">
        <v>1593</v>
      </c>
      <c r="E467" s="30">
        <v>21970256290</v>
      </c>
      <c r="F467" s="31" t="s">
        <v>10</v>
      </c>
      <c r="G467" s="31" t="s">
        <v>1599</v>
      </c>
      <c r="H467" s="77" t="s">
        <v>2220</v>
      </c>
      <c r="I467" s="31">
        <f>VLOOKUP(H467,PACOTES!B:E,4,FALSE)</f>
        <v>6</v>
      </c>
      <c r="J467" s="77" t="s">
        <v>134</v>
      </c>
      <c r="K467" s="32">
        <v>3900</v>
      </c>
      <c r="L467" s="32">
        <v>3900</v>
      </c>
      <c r="M467" s="108">
        <v>0</v>
      </c>
      <c r="N467" s="32"/>
      <c r="O467" s="32"/>
      <c r="P467" s="32"/>
    </row>
    <row r="468" spans="1:16">
      <c r="A468" s="57">
        <v>100</v>
      </c>
      <c r="B468" s="37">
        <v>44915</v>
      </c>
      <c r="C468" s="28">
        <v>44919</v>
      </c>
      <c r="D468" s="29" t="s">
        <v>2191</v>
      </c>
      <c r="E468" s="30" t="s">
        <v>13</v>
      </c>
      <c r="F468" s="31" t="s">
        <v>10</v>
      </c>
      <c r="G468" s="31" t="s">
        <v>2192</v>
      </c>
      <c r="H468" s="77" t="s">
        <v>2220</v>
      </c>
      <c r="I468" s="31">
        <f>VLOOKUP(H468,PACOTES!B:E,4,FALSE)</f>
        <v>6</v>
      </c>
      <c r="J468" s="77" t="s">
        <v>419</v>
      </c>
      <c r="K468" s="32">
        <v>3300</v>
      </c>
      <c r="L468" s="32">
        <v>3300</v>
      </c>
      <c r="M468" s="108">
        <v>0</v>
      </c>
      <c r="N468" s="32"/>
      <c r="O468" s="32"/>
      <c r="P468" s="32"/>
    </row>
    <row r="469" spans="1:16">
      <c r="A469" s="57">
        <v>158</v>
      </c>
      <c r="B469" s="37">
        <v>44916</v>
      </c>
      <c r="C469" s="28">
        <v>44916</v>
      </c>
      <c r="D469" s="29" t="s">
        <v>1685</v>
      </c>
      <c r="E469" s="35">
        <v>21975246555</v>
      </c>
      <c r="F469" s="31" t="s">
        <v>11</v>
      </c>
      <c r="G469" s="31" t="s">
        <v>1337</v>
      </c>
      <c r="H469" s="77" t="s">
        <v>2221</v>
      </c>
      <c r="I469" s="31">
        <f>VLOOKUP(H469,PACOTES!B:E,4,FALSE)</f>
        <v>5</v>
      </c>
      <c r="J469" s="77" t="s">
        <v>134</v>
      </c>
      <c r="K469" s="32">
        <v>2800</v>
      </c>
      <c r="L469" s="32">
        <v>2800</v>
      </c>
      <c r="M469" s="108">
        <v>0</v>
      </c>
      <c r="N469" s="32"/>
      <c r="O469" s="32"/>
      <c r="P469" s="32"/>
    </row>
    <row r="470" spans="1:16">
      <c r="A470" s="57">
        <v>4</v>
      </c>
      <c r="B470" s="37">
        <v>44920</v>
      </c>
      <c r="C470" s="37">
        <v>44560</v>
      </c>
      <c r="D470" s="29" t="s">
        <v>1195</v>
      </c>
      <c r="E470" s="30">
        <v>21964020340</v>
      </c>
      <c r="F470" s="31" t="s">
        <v>10</v>
      </c>
      <c r="G470" s="31" t="s">
        <v>1196</v>
      </c>
      <c r="H470" s="77" t="s">
        <v>2218</v>
      </c>
      <c r="I470" s="31">
        <f>VLOOKUP(H470,PACOTES!B:E,4,FALSE)</f>
        <v>8</v>
      </c>
      <c r="J470" s="77" t="s">
        <v>419</v>
      </c>
      <c r="K470" s="32">
        <v>3200</v>
      </c>
      <c r="L470" s="32">
        <v>3200</v>
      </c>
      <c r="M470" s="108">
        <v>0</v>
      </c>
      <c r="N470" s="32"/>
      <c r="O470" s="32"/>
      <c r="P470" s="32"/>
    </row>
    <row r="471" spans="1:16">
      <c r="A471" s="57">
        <v>47</v>
      </c>
      <c r="B471" s="37">
        <v>44920</v>
      </c>
      <c r="C471" s="28">
        <v>44576</v>
      </c>
      <c r="D471" s="29" t="s">
        <v>1372</v>
      </c>
      <c r="E471" s="30">
        <v>21964500550</v>
      </c>
      <c r="F471" s="31" t="s">
        <v>10</v>
      </c>
      <c r="G471" s="31" t="s">
        <v>1374</v>
      </c>
      <c r="H471" s="77" t="s">
        <v>2226</v>
      </c>
      <c r="I471" s="31">
        <f>VLOOKUP(H471,PACOTES!B:E,4,FALSE)</f>
        <v>0</v>
      </c>
      <c r="J471" s="77" t="s">
        <v>134</v>
      </c>
      <c r="K471" s="32">
        <v>3702.42</v>
      </c>
      <c r="L471" s="32">
        <v>3702.42</v>
      </c>
      <c r="M471" s="108">
        <v>0</v>
      </c>
      <c r="N471" s="32"/>
      <c r="O471" s="32"/>
      <c r="P471" s="32"/>
    </row>
    <row r="472" spans="1:16">
      <c r="A472" s="57">
        <v>47</v>
      </c>
      <c r="B472" s="37">
        <v>44920</v>
      </c>
      <c r="C472" s="28">
        <v>44576</v>
      </c>
      <c r="D472" s="29" t="s">
        <v>1372</v>
      </c>
      <c r="E472" s="30">
        <v>21964500550</v>
      </c>
      <c r="F472" s="31" t="s">
        <v>10</v>
      </c>
      <c r="G472" s="31" t="s">
        <v>1375</v>
      </c>
      <c r="H472" s="77" t="s">
        <v>2226</v>
      </c>
      <c r="I472" s="31">
        <f>VLOOKUP(H472,PACOTES!B:E,4,FALSE)</f>
        <v>0</v>
      </c>
      <c r="J472" s="77" t="s">
        <v>134</v>
      </c>
      <c r="K472" s="32">
        <v>3702.42</v>
      </c>
      <c r="L472" s="32">
        <v>3702.42</v>
      </c>
      <c r="M472" s="108">
        <v>0</v>
      </c>
      <c r="N472" s="32"/>
      <c r="O472" s="32"/>
      <c r="P472" s="32"/>
    </row>
    <row r="473" spans="1:16">
      <c r="A473" s="57">
        <v>248</v>
      </c>
      <c r="B473" s="37">
        <v>44920</v>
      </c>
      <c r="C473" s="28">
        <v>44560</v>
      </c>
      <c r="D473" s="29" t="s">
        <v>1835</v>
      </c>
      <c r="E473" s="30">
        <v>21984069196</v>
      </c>
      <c r="F473" s="31" t="s">
        <v>11</v>
      </c>
      <c r="G473" s="31" t="s">
        <v>1836</v>
      </c>
      <c r="H473" s="77" t="s">
        <v>2220</v>
      </c>
      <c r="I473" s="31">
        <f>VLOOKUP(H473,PACOTES!B:E,4,FALSE)</f>
        <v>6</v>
      </c>
      <c r="J473" s="77" t="s">
        <v>134</v>
      </c>
      <c r="K473" s="32">
        <v>2502.31</v>
      </c>
      <c r="L473" s="32">
        <v>2502.31</v>
      </c>
      <c r="M473" s="108">
        <v>0</v>
      </c>
      <c r="N473" s="32"/>
      <c r="O473" s="32"/>
      <c r="P473" s="32"/>
    </row>
    <row r="474" spans="1:16">
      <c r="A474" s="57">
        <v>351</v>
      </c>
      <c r="B474" s="37">
        <v>44920</v>
      </c>
      <c r="C474" s="28">
        <v>44558</v>
      </c>
      <c r="D474" s="29" t="s">
        <v>1514</v>
      </c>
      <c r="E474" s="30">
        <v>21995622162</v>
      </c>
      <c r="F474" s="31" t="s">
        <v>10</v>
      </c>
      <c r="G474" s="31" t="s">
        <v>1375</v>
      </c>
      <c r="H474" s="77" t="s">
        <v>2218</v>
      </c>
      <c r="I474" s="31">
        <f>VLOOKUP(H474,PACOTES!B:E,4,FALSE)</f>
        <v>8</v>
      </c>
      <c r="J474" s="77" t="s">
        <v>134</v>
      </c>
      <c r="K474" s="32">
        <v>3641.34</v>
      </c>
      <c r="L474" s="32">
        <v>3641.34</v>
      </c>
      <c r="M474" s="108">
        <v>0</v>
      </c>
      <c r="N474" s="32"/>
      <c r="O474" s="32"/>
      <c r="P474" s="32"/>
    </row>
    <row r="475" spans="1:16" s="12" customFormat="1">
      <c r="A475" s="57">
        <v>211</v>
      </c>
      <c r="B475" s="37">
        <v>44924</v>
      </c>
      <c r="C475" s="28">
        <v>44924</v>
      </c>
      <c r="D475" s="29" t="s">
        <v>1766</v>
      </c>
      <c r="E475" s="35">
        <v>21981680884</v>
      </c>
      <c r="F475" s="31" t="s">
        <v>11</v>
      </c>
      <c r="G475" s="31" t="s">
        <v>1767</v>
      </c>
      <c r="H475" s="77" t="s">
        <v>2222</v>
      </c>
      <c r="I475" s="31">
        <f>VLOOKUP(H475,PACOTES!B:E,4,FALSE)</f>
        <v>4</v>
      </c>
      <c r="J475" s="77" t="s">
        <v>134</v>
      </c>
      <c r="K475" s="32">
        <v>2502.31</v>
      </c>
      <c r="L475" s="32">
        <v>2502.31</v>
      </c>
      <c r="M475" s="108">
        <v>0</v>
      </c>
      <c r="N475" s="32"/>
      <c r="O475" s="32"/>
      <c r="P475" s="32"/>
    </row>
    <row r="476" spans="1:16" s="12" customFormat="1">
      <c r="A476" s="57">
        <v>238</v>
      </c>
      <c r="B476" s="37">
        <v>44924</v>
      </c>
      <c r="C476" s="28">
        <v>44924</v>
      </c>
      <c r="D476" s="29" t="s">
        <v>1815</v>
      </c>
      <c r="E476" s="35">
        <v>21982902010</v>
      </c>
      <c r="F476" s="31" t="s">
        <v>10</v>
      </c>
      <c r="G476" s="31" t="s">
        <v>1816</v>
      </c>
      <c r="H476" s="77" t="s">
        <v>2220</v>
      </c>
      <c r="I476" s="31">
        <f>VLOOKUP(H476,PACOTES!B:E,4,FALSE)</f>
        <v>6</v>
      </c>
      <c r="J476" s="77" t="s">
        <v>134</v>
      </c>
      <c r="K476" s="32">
        <v>3900</v>
      </c>
      <c r="L476" s="32">
        <v>3900</v>
      </c>
      <c r="M476" s="108">
        <v>0</v>
      </c>
      <c r="N476" s="32"/>
      <c r="O476" s="32"/>
      <c r="P476" s="32"/>
    </row>
    <row r="477" spans="1:16" s="12" customFormat="1">
      <c r="A477" s="57">
        <v>300</v>
      </c>
      <c r="B477" s="37">
        <v>44924</v>
      </c>
      <c r="C477" s="28">
        <v>44924</v>
      </c>
      <c r="D477" s="29" t="s">
        <v>1929</v>
      </c>
      <c r="E477" s="35">
        <v>21990772958</v>
      </c>
      <c r="F477" s="31" t="s">
        <v>10</v>
      </c>
      <c r="G477" s="31" t="s">
        <v>1930</v>
      </c>
      <c r="H477" s="77" t="s">
        <v>2221</v>
      </c>
      <c r="I477" s="31">
        <f>VLOOKUP(H477,PACOTES!B:E,4,FALSE)</f>
        <v>5</v>
      </c>
      <c r="J477" s="77" t="s">
        <v>419</v>
      </c>
      <c r="K477" s="32">
        <v>3900</v>
      </c>
      <c r="L477" s="32">
        <v>3900</v>
      </c>
      <c r="M477" s="108">
        <v>0</v>
      </c>
      <c r="N477" s="32"/>
      <c r="O477" s="32"/>
      <c r="P477" s="32"/>
    </row>
    <row r="478" spans="1:16" s="12" customFormat="1">
      <c r="A478" s="57">
        <v>42</v>
      </c>
      <c r="B478" s="37">
        <v>44937</v>
      </c>
      <c r="C478" s="28">
        <v>44960</v>
      </c>
      <c r="D478" s="29" t="s">
        <v>1351</v>
      </c>
      <c r="E478" s="35">
        <v>21964701473</v>
      </c>
      <c r="F478" s="31" t="s">
        <v>10</v>
      </c>
      <c r="G478" s="31" t="s">
        <v>1352</v>
      </c>
      <c r="H478" s="77" t="s">
        <v>2226</v>
      </c>
      <c r="I478" s="31">
        <f>VLOOKUP(H478,PACOTES!B:E,4,FALSE)</f>
        <v>0</v>
      </c>
      <c r="J478" s="77" t="s">
        <v>134</v>
      </c>
      <c r="K478" s="32">
        <v>4400</v>
      </c>
      <c r="L478" s="32">
        <v>4400</v>
      </c>
      <c r="M478" s="108">
        <v>0</v>
      </c>
      <c r="N478" s="104" t="s">
        <v>2237</v>
      </c>
      <c r="O478" s="104" t="s">
        <v>135</v>
      </c>
      <c r="P478" s="104" t="s">
        <v>135</v>
      </c>
    </row>
    <row r="479" spans="1:16" s="12" customFormat="1">
      <c r="A479" s="57">
        <v>42</v>
      </c>
      <c r="B479" s="37">
        <v>44937</v>
      </c>
      <c r="C479" s="28">
        <v>44960</v>
      </c>
      <c r="D479" s="29" t="s">
        <v>1351</v>
      </c>
      <c r="E479" s="35">
        <v>21964701473</v>
      </c>
      <c r="F479" s="31" t="s">
        <v>7</v>
      </c>
      <c r="G479" s="31" t="s">
        <v>1353</v>
      </c>
      <c r="H479" s="77" t="s">
        <v>2214</v>
      </c>
      <c r="I479" s="31"/>
      <c r="J479" s="77" t="s">
        <v>2214</v>
      </c>
      <c r="K479" s="32">
        <v>2600</v>
      </c>
      <c r="L479" s="32">
        <v>2600</v>
      </c>
      <c r="M479" s="108">
        <v>0</v>
      </c>
      <c r="N479" s="104" t="s">
        <v>2214</v>
      </c>
      <c r="O479" s="32"/>
      <c r="P479" s="32"/>
    </row>
    <row r="480" spans="1:16" s="12" customFormat="1">
      <c r="A480" s="57">
        <v>155</v>
      </c>
      <c r="B480" s="37">
        <v>44937</v>
      </c>
      <c r="C480" s="28">
        <v>44944</v>
      </c>
      <c r="D480" s="29" t="s">
        <v>1681</v>
      </c>
      <c r="E480" s="35">
        <v>21974857789</v>
      </c>
      <c r="F480" s="31" t="s">
        <v>10</v>
      </c>
      <c r="G480" s="31" t="s">
        <v>1682</v>
      </c>
      <c r="H480" s="77" t="s">
        <v>2220</v>
      </c>
      <c r="I480" s="31">
        <f>VLOOKUP(H480,PACOTES!B:E,4,FALSE)</f>
        <v>6</v>
      </c>
      <c r="J480" s="77" t="s">
        <v>134</v>
      </c>
      <c r="K480" s="32">
        <v>4700</v>
      </c>
      <c r="L480" s="32">
        <v>4700</v>
      </c>
      <c r="M480" s="108">
        <v>0</v>
      </c>
      <c r="N480" s="32"/>
      <c r="O480" s="32"/>
      <c r="P480" s="32"/>
    </row>
    <row r="481" spans="1:16" s="12" customFormat="1">
      <c r="A481" s="57">
        <v>275</v>
      </c>
      <c r="B481" s="37">
        <v>44949</v>
      </c>
      <c r="C481" s="28">
        <v>44960</v>
      </c>
      <c r="D481" s="29" t="s">
        <v>1492</v>
      </c>
      <c r="E481" s="35">
        <v>21987470726</v>
      </c>
      <c r="F481" s="31" t="s">
        <v>10</v>
      </c>
      <c r="G481" s="31" t="s">
        <v>1890</v>
      </c>
      <c r="H481" s="77" t="s">
        <v>2221</v>
      </c>
      <c r="I481" s="31">
        <f>VLOOKUP(H481,PACOTES!B:E,4,FALSE)</f>
        <v>5</v>
      </c>
      <c r="J481" s="77" t="s">
        <v>134</v>
      </c>
      <c r="K481" s="32">
        <v>4500</v>
      </c>
      <c r="L481" s="32">
        <v>4500</v>
      </c>
      <c r="M481" s="108">
        <v>0</v>
      </c>
      <c r="N481" s="32"/>
      <c r="O481" s="32"/>
      <c r="P481" s="32"/>
    </row>
    <row r="482" spans="1:16" s="12" customFormat="1">
      <c r="A482" s="57">
        <v>244</v>
      </c>
      <c r="B482" s="37">
        <v>44952</v>
      </c>
      <c r="C482" s="28">
        <v>46048</v>
      </c>
      <c r="D482" s="29" t="s">
        <v>1829</v>
      </c>
      <c r="E482" s="35">
        <v>21983669054</v>
      </c>
      <c r="F482" s="31" t="s">
        <v>11</v>
      </c>
      <c r="G482" s="31" t="s">
        <v>1830</v>
      </c>
      <c r="H482" s="77" t="s">
        <v>2220</v>
      </c>
      <c r="I482" s="31">
        <f>VLOOKUP(H482,PACOTES!B:E,4,FALSE)</f>
        <v>6</v>
      </c>
      <c r="J482" s="77" t="s">
        <v>134</v>
      </c>
      <c r="K482" s="32">
        <v>2800</v>
      </c>
      <c r="L482" s="32">
        <v>2800</v>
      </c>
      <c r="M482" s="108">
        <v>0</v>
      </c>
      <c r="N482" s="32"/>
      <c r="O482" s="32"/>
      <c r="P482" s="32"/>
    </row>
    <row r="483" spans="1:16" s="12" customFormat="1">
      <c r="A483" s="57">
        <v>257</v>
      </c>
      <c r="B483" s="37">
        <v>44952</v>
      </c>
      <c r="C483" s="28">
        <v>44952</v>
      </c>
      <c r="D483" s="29" t="s">
        <v>1851</v>
      </c>
      <c r="E483" s="35">
        <v>21985124698</v>
      </c>
      <c r="F483" s="31" t="s">
        <v>10</v>
      </c>
      <c r="G483" s="31" t="s">
        <v>1852</v>
      </c>
      <c r="H483" s="77" t="s">
        <v>2225</v>
      </c>
      <c r="I483" s="31">
        <f>VLOOKUP(H483,PACOTES!B:E,4,FALSE)</f>
        <v>1</v>
      </c>
      <c r="J483" s="77" t="s">
        <v>134</v>
      </c>
      <c r="K483" s="32">
        <v>4400</v>
      </c>
      <c r="L483" s="32">
        <v>4400</v>
      </c>
      <c r="M483" s="108">
        <v>0</v>
      </c>
      <c r="N483" s="32"/>
      <c r="O483" s="32"/>
      <c r="P483" s="32"/>
    </row>
    <row r="484" spans="1:16" s="12" customFormat="1">
      <c r="A484" s="57">
        <v>443</v>
      </c>
      <c r="B484" s="37">
        <v>44952</v>
      </c>
      <c r="C484" s="28">
        <v>44960</v>
      </c>
      <c r="D484" s="29" t="s">
        <v>2126</v>
      </c>
      <c r="E484" s="35">
        <v>24997461003</v>
      </c>
      <c r="F484" s="31" t="s">
        <v>10</v>
      </c>
      <c r="G484" s="31" t="s">
        <v>2127</v>
      </c>
      <c r="H484" s="77" t="s">
        <v>2220</v>
      </c>
      <c r="I484" s="31">
        <f>VLOOKUP(H484,PACOTES!B:E,4,FALSE)</f>
        <v>6</v>
      </c>
      <c r="J484" s="77" t="s">
        <v>419</v>
      </c>
      <c r="K484" s="32">
        <v>3449.49</v>
      </c>
      <c r="L484" s="32">
        <v>3449.49</v>
      </c>
      <c r="M484" s="108">
        <v>0</v>
      </c>
      <c r="N484" s="32"/>
      <c r="O484" s="32"/>
      <c r="P484" s="32"/>
    </row>
    <row r="485" spans="1:16" s="12" customFormat="1">
      <c r="A485" s="57">
        <v>136</v>
      </c>
      <c r="B485" s="37">
        <v>44957</v>
      </c>
      <c r="C485" s="28">
        <v>44974</v>
      </c>
      <c r="D485" s="29" t="s">
        <v>1646</v>
      </c>
      <c r="E485" s="35">
        <v>21972792837</v>
      </c>
      <c r="F485" s="31" t="s">
        <v>10</v>
      </c>
      <c r="G485" s="31" t="s">
        <v>1647</v>
      </c>
      <c r="H485" s="77" t="s">
        <v>2220</v>
      </c>
      <c r="I485" s="31">
        <f>VLOOKUP(H485,PACOTES!B:E,4,FALSE)</f>
        <v>6</v>
      </c>
      <c r="J485" s="77" t="s">
        <v>419</v>
      </c>
      <c r="K485" s="32">
        <v>3300</v>
      </c>
      <c r="L485" s="32">
        <v>3300</v>
      </c>
      <c r="M485" s="108">
        <v>0</v>
      </c>
      <c r="N485" s="32"/>
      <c r="O485" s="32"/>
      <c r="P485" s="32"/>
    </row>
    <row r="486" spans="1:16" s="12" customFormat="1">
      <c r="A486" s="57">
        <v>149</v>
      </c>
      <c r="B486" s="37">
        <v>44957</v>
      </c>
      <c r="C486" s="28">
        <v>44974</v>
      </c>
      <c r="D486" s="29" t="s">
        <v>1289</v>
      </c>
      <c r="E486" s="35">
        <v>21974146263</v>
      </c>
      <c r="F486" s="31" t="s">
        <v>10</v>
      </c>
      <c r="G486" s="31" t="s">
        <v>1673</v>
      </c>
      <c r="H486" s="77" t="s">
        <v>2220</v>
      </c>
      <c r="I486" s="31">
        <f>VLOOKUP(H486,PACOTES!B:E,4,FALSE)</f>
        <v>6</v>
      </c>
      <c r="J486" s="77" t="s">
        <v>134</v>
      </c>
      <c r="K486" s="32">
        <v>4500</v>
      </c>
      <c r="L486" s="32">
        <v>4500</v>
      </c>
      <c r="M486" s="108">
        <v>0</v>
      </c>
      <c r="N486" s="32"/>
      <c r="O486" s="32"/>
      <c r="P486" s="32"/>
    </row>
    <row r="487" spans="1:16" s="12" customFormat="1">
      <c r="A487" s="57">
        <v>243</v>
      </c>
      <c r="B487" s="37">
        <v>44957</v>
      </c>
      <c r="C487" s="28">
        <v>44967</v>
      </c>
      <c r="D487" s="29" t="s">
        <v>1269</v>
      </c>
      <c r="E487" s="35">
        <v>21983651161</v>
      </c>
      <c r="F487" s="31" t="s">
        <v>10</v>
      </c>
      <c r="G487" s="31" t="s">
        <v>1828</v>
      </c>
      <c r="H487" s="77" t="s">
        <v>2220</v>
      </c>
      <c r="I487" s="31">
        <f>VLOOKUP(H487,PACOTES!B:E,4,FALSE)</f>
        <v>6</v>
      </c>
      <c r="J487" s="77" t="s">
        <v>134</v>
      </c>
      <c r="K487" s="32">
        <v>4400</v>
      </c>
      <c r="L487" s="32">
        <v>4400</v>
      </c>
      <c r="M487" s="108">
        <v>0</v>
      </c>
      <c r="N487" s="32"/>
      <c r="O487" s="32"/>
      <c r="P487" s="32"/>
    </row>
    <row r="488" spans="1:16" s="12" customFormat="1">
      <c r="A488" s="57">
        <v>357</v>
      </c>
      <c r="B488" s="37">
        <v>44957</v>
      </c>
      <c r="C488" s="28">
        <v>44958</v>
      </c>
      <c r="D488" s="29" t="s">
        <v>2018</v>
      </c>
      <c r="E488" s="35">
        <v>21996034890</v>
      </c>
      <c r="F488" s="31" t="s">
        <v>11</v>
      </c>
      <c r="G488" s="31" t="s">
        <v>2019</v>
      </c>
      <c r="H488" s="77" t="s">
        <v>2220</v>
      </c>
      <c r="I488" s="31">
        <f>VLOOKUP(H488,PACOTES!B:E,4,FALSE)</f>
        <v>6</v>
      </c>
      <c r="J488" s="77" t="s">
        <v>134</v>
      </c>
      <c r="K488" s="32">
        <v>2800</v>
      </c>
      <c r="L488" s="32">
        <v>2800</v>
      </c>
      <c r="M488" s="108">
        <v>0</v>
      </c>
      <c r="N488" s="32"/>
      <c r="O488" s="32"/>
      <c r="P488" s="32"/>
    </row>
    <row r="489" spans="1:16" s="12" customFormat="1">
      <c r="A489" s="57">
        <v>439</v>
      </c>
      <c r="B489" s="37">
        <v>44957</v>
      </c>
      <c r="C489" s="28">
        <v>44960</v>
      </c>
      <c r="D489" s="29" t="s">
        <v>2121</v>
      </c>
      <c r="E489" s="35">
        <v>24992493642</v>
      </c>
      <c r="F489" s="31" t="s">
        <v>11</v>
      </c>
      <c r="G489" s="31" t="s">
        <v>1827</v>
      </c>
      <c r="H489" s="77" t="s">
        <v>2222</v>
      </c>
      <c r="I489" s="31">
        <f>VLOOKUP(H489,PACOTES!B:E,4,FALSE)</f>
        <v>4</v>
      </c>
      <c r="J489" s="77" t="s">
        <v>134</v>
      </c>
      <c r="K489" s="32">
        <v>2800</v>
      </c>
      <c r="L489" s="32">
        <v>2800</v>
      </c>
      <c r="M489" s="108">
        <v>0</v>
      </c>
      <c r="N489" s="32"/>
      <c r="O489" s="32"/>
      <c r="P489" s="32"/>
    </row>
    <row r="490" spans="1:16" s="12" customFormat="1">
      <c r="A490" s="57">
        <v>321</v>
      </c>
      <c r="B490" s="37">
        <v>44958</v>
      </c>
      <c r="C490" s="28">
        <v>44974</v>
      </c>
      <c r="D490" s="29" t="s">
        <v>1504</v>
      </c>
      <c r="E490" s="35">
        <v>21992364554</v>
      </c>
      <c r="F490" s="31" t="s">
        <v>10</v>
      </c>
      <c r="G490" s="31" t="s">
        <v>1962</v>
      </c>
      <c r="H490" s="77" t="s">
        <v>2220</v>
      </c>
      <c r="I490" s="31">
        <f>VLOOKUP(H490,PACOTES!B:E,4,FALSE)</f>
        <v>6</v>
      </c>
      <c r="J490" s="77" t="s">
        <v>419</v>
      </c>
      <c r="K490" s="32">
        <v>3900</v>
      </c>
      <c r="L490" s="32">
        <v>3900</v>
      </c>
      <c r="M490" s="108">
        <v>0</v>
      </c>
      <c r="N490" s="32"/>
      <c r="O490" s="32"/>
      <c r="P490" s="32"/>
    </row>
    <row r="491" spans="1:16" s="12" customFormat="1">
      <c r="A491" s="57">
        <v>432</v>
      </c>
      <c r="B491" s="37">
        <v>44958</v>
      </c>
      <c r="C491" s="28">
        <v>44958</v>
      </c>
      <c r="D491" s="29" t="s">
        <v>2110</v>
      </c>
      <c r="E491" s="35">
        <v>22999898913</v>
      </c>
      <c r="F491" s="31" t="s">
        <v>10</v>
      </c>
      <c r="G491" s="31" t="s">
        <v>2111</v>
      </c>
      <c r="H491" s="77" t="s">
        <v>2220</v>
      </c>
      <c r="I491" s="31">
        <f>VLOOKUP(H491,PACOTES!B:E,4,FALSE)</f>
        <v>6</v>
      </c>
      <c r="J491" s="77" t="s">
        <v>419</v>
      </c>
      <c r="K491" s="32">
        <v>0</v>
      </c>
      <c r="L491" s="32">
        <v>0</v>
      </c>
      <c r="M491" s="108">
        <v>0</v>
      </c>
      <c r="N491" s="32"/>
      <c r="O491" s="32"/>
      <c r="P491" s="32"/>
    </row>
    <row r="492" spans="1:16" s="12" customFormat="1">
      <c r="A492" s="57">
        <v>514</v>
      </c>
      <c r="B492" s="37">
        <v>44965</v>
      </c>
      <c r="C492" s="28">
        <v>44970</v>
      </c>
      <c r="D492" s="29" t="s">
        <v>1451</v>
      </c>
      <c r="E492" s="35">
        <v>48991034002</v>
      </c>
      <c r="F492" s="31" t="s">
        <v>11</v>
      </c>
      <c r="G492" s="31" t="s">
        <v>1452</v>
      </c>
      <c r="H492" s="77" t="s">
        <v>2220</v>
      </c>
      <c r="I492" s="31">
        <f>VLOOKUP(H492,PACOTES!B:E,4,FALSE)</f>
        <v>6</v>
      </c>
      <c r="J492" s="77" t="s">
        <v>134</v>
      </c>
      <c r="K492" s="32">
        <v>2700</v>
      </c>
      <c r="L492" s="32">
        <v>2700</v>
      </c>
      <c r="M492" s="108">
        <v>0</v>
      </c>
      <c r="N492" s="32"/>
      <c r="O492" s="32"/>
      <c r="P492" s="32"/>
    </row>
    <row r="493" spans="1:16" s="12" customFormat="1">
      <c r="A493" s="57">
        <v>540</v>
      </c>
      <c r="B493" s="37">
        <v>44965</v>
      </c>
      <c r="C493" s="28">
        <v>44970</v>
      </c>
      <c r="D493" s="29" t="s">
        <v>1543</v>
      </c>
      <c r="E493" s="35">
        <v>67999713038</v>
      </c>
      <c r="F493" s="31" t="s">
        <v>11</v>
      </c>
      <c r="G493" s="31" t="s">
        <v>1318</v>
      </c>
      <c r="H493" s="77" t="s">
        <v>2225</v>
      </c>
      <c r="I493" s="31">
        <f>VLOOKUP(H493,PACOTES!B:E,4,FALSE)</f>
        <v>1</v>
      </c>
      <c r="J493" s="77" t="s">
        <v>134</v>
      </c>
      <c r="K493" s="32">
        <v>2700</v>
      </c>
      <c r="L493" s="32">
        <v>2700</v>
      </c>
      <c r="M493" s="108">
        <v>0</v>
      </c>
      <c r="N493" s="32"/>
      <c r="O493" s="32"/>
      <c r="P493" s="32"/>
    </row>
    <row r="494" spans="1:16" s="12" customFormat="1">
      <c r="A494" s="57">
        <v>294</v>
      </c>
      <c r="B494" s="37">
        <v>44965</v>
      </c>
      <c r="C494" s="28">
        <v>44966</v>
      </c>
      <c r="D494" s="29" t="s">
        <v>1919</v>
      </c>
      <c r="E494" s="35">
        <v>21988844169</v>
      </c>
      <c r="F494" s="31" t="s">
        <v>11</v>
      </c>
      <c r="G494" s="31" t="s">
        <v>1920</v>
      </c>
      <c r="H494" s="77" t="s">
        <v>2220</v>
      </c>
      <c r="I494" s="31">
        <f>VLOOKUP(H494,PACOTES!B:E,4,FALSE)</f>
        <v>6</v>
      </c>
      <c r="J494" s="77" t="s">
        <v>134</v>
      </c>
      <c r="K494" s="32">
        <v>2500</v>
      </c>
      <c r="L494" s="32">
        <v>2500</v>
      </c>
      <c r="M494" s="108">
        <v>0</v>
      </c>
      <c r="N494" s="32"/>
      <c r="O494" s="32"/>
      <c r="P494" s="32"/>
    </row>
    <row r="495" spans="1:16" s="12" customFormat="1">
      <c r="A495" s="57">
        <v>213</v>
      </c>
      <c r="B495" s="37">
        <v>44967</v>
      </c>
      <c r="C495" s="28">
        <v>44973</v>
      </c>
      <c r="D495" s="29" t="s">
        <v>1770</v>
      </c>
      <c r="E495" s="35">
        <v>21981738594</v>
      </c>
      <c r="F495" s="31" t="s">
        <v>10</v>
      </c>
      <c r="G495" s="31" t="s">
        <v>1771</v>
      </c>
      <c r="H495" s="77" t="s">
        <v>2222</v>
      </c>
      <c r="I495" s="31">
        <f>VLOOKUP(H495,PACOTES!B:E,4,FALSE)</f>
        <v>4</v>
      </c>
      <c r="J495" s="77" t="s">
        <v>134</v>
      </c>
      <c r="K495" s="44">
        <v>4400</v>
      </c>
      <c r="L495" s="44">
        <v>4400</v>
      </c>
      <c r="M495" s="108">
        <v>0</v>
      </c>
      <c r="N495" s="44"/>
      <c r="O495" s="44"/>
      <c r="P495" s="44"/>
    </row>
    <row r="496" spans="1:16" s="12" customFormat="1">
      <c r="A496" s="57">
        <v>424</v>
      </c>
      <c r="B496" s="37">
        <v>44967</v>
      </c>
      <c r="C496" s="28">
        <v>44973</v>
      </c>
      <c r="D496" s="29" t="s">
        <v>2099</v>
      </c>
      <c r="E496" s="35">
        <v>22998742622</v>
      </c>
      <c r="F496" s="31" t="s">
        <v>11</v>
      </c>
      <c r="G496" s="31" t="s">
        <v>2100</v>
      </c>
      <c r="H496" s="77" t="s">
        <v>2220</v>
      </c>
      <c r="I496" s="31">
        <f>VLOOKUP(H496,PACOTES!B:E,4,FALSE)</f>
        <v>6</v>
      </c>
      <c r="J496" s="77" t="s">
        <v>134</v>
      </c>
      <c r="K496" s="44">
        <v>2603.4699999999998</v>
      </c>
      <c r="L496" s="44">
        <v>2603.4699999999998</v>
      </c>
      <c r="M496" s="108">
        <v>0</v>
      </c>
      <c r="N496" s="44"/>
      <c r="O496" s="44"/>
      <c r="P496" s="44"/>
    </row>
    <row r="497" spans="1:16" s="12" customFormat="1">
      <c r="A497" s="57">
        <v>428</v>
      </c>
      <c r="B497" s="37">
        <v>44967</v>
      </c>
      <c r="C497" s="28">
        <v>44973</v>
      </c>
      <c r="D497" s="29" t="s">
        <v>2104</v>
      </c>
      <c r="E497" s="45" t="s">
        <v>911</v>
      </c>
      <c r="F497" s="31" t="s">
        <v>11</v>
      </c>
      <c r="G497" s="31" t="s">
        <v>1318</v>
      </c>
      <c r="H497" s="77" t="s">
        <v>2220</v>
      </c>
      <c r="I497" s="31">
        <f>VLOOKUP(H497,PACOTES!B:E,4,FALSE)</f>
        <v>6</v>
      </c>
      <c r="J497" s="77" t="s">
        <v>134</v>
      </c>
      <c r="K497" s="44">
        <v>2871</v>
      </c>
      <c r="L497" s="44">
        <v>2871</v>
      </c>
      <c r="M497" s="108">
        <v>0</v>
      </c>
      <c r="N497" s="44"/>
      <c r="O497" s="44"/>
      <c r="P497" s="44"/>
    </row>
    <row r="498" spans="1:16" s="12" customFormat="1">
      <c r="A498" s="57">
        <v>429</v>
      </c>
      <c r="B498" s="37">
        <v>44972</v>
      </c>
      <c r="C498" s="28">
        <v>44973</v>
      </c>
      <c r="D498" s="29" t="s">
        <v>2106</v>
      </c>
      <c r="E498" s="35">
        <v>22999673589</v>
      </c>
      <c r="F498" s="31" t="s">
        <v>10</v>
      </c>
      <c r="G498" s="31" t="s">
        <v>1647</v>
      </c>
      <c r="H498" s="77" t="s">
        <v>2220</v>
      </c>
      <c r="I498" s="31">
        <f>VLOOKUP(H498,PACOTES!B:E,4,FALSE)</f>
        <v>6</v>
      </c>
      <c r="J498" s="77" t="s">
        <v>419</v>
      </c>
      <c r="K498" s="32">
        <v>3300</v>
      </c>
      <c r="L498" s="32">
        <v>3300</v>
      </c>
      <c r="M498" s="108">
        <v>0</v>
      </c>
      <c r="N498" s="32"/>
      <c r="O498" s="32"/>
      <c r="P498" s="32"/>
    </row>
    <row r="499" spans="1:16" s="12" customFormat="1">
      <c r="A499" s="57">
        <v>495</v>
      </c>
      <c r="B499" s="37">
        <v>44974</v>
      </c>
      <c r="C499" s="28">
        <v>44974</v>
      </c>
      <c r="D499" s="46" t="s">
        <v>1376</v>
      </c>
      <c r="E499" s="35">
        <v>32988528910</v>
      </c>
      <c r="F499" s="31" t="s">
        <v>10</v>
      </c>
      <c r="G499" s="31" t="s">
        <v>1369</v>
      </c>
      <c r="H499" s="77" t="s">
        <v>2220</v>
      </c>
      <c r="I499" s="31">
        <f>VLOOKUP(H499,PACOTES!B:E,4,FALSE)</f>
        <v>6</v>
      </c>
      <c r="J499" s="77" t="s">
        <v>419</v>
      </c>
      <c r="K499" s="32">
        <v>0</v>
      </c>
      <c r="L499" s="32">
        <v>0</v>
      </c>
      <c r="M499" s="108">
        <v>0</v>
      </c>
      <c r="N499" s="32"/>
      <c r="O499" s="32"/>
      <c r="P499" s="32"/>
    </row>
    <row r="500" spans="1:16" s="12" customFormat="1">
      <c r="A500" s="57">
        <v>303</v>
      </c>
      <c r="B500" s="37">
        <v>44974</v>
      </c>
      <c r="C500" s="28">
        <v>44974</v>
      </c>
      <c r="D500" s="29" t="s">
        <v>1934</v>
      </c>
      <c r="E500" s="35">
        <v>21991216434</v>
      </c>
      <c r="F500" s="31" t="s">
        <v>10</v>
      </c>
      <c r="G500" s="31" t="s">
        <v>1935</v>
      </c>
      <c r="H500" s="77" t="s">
        <v>2226</v>
      </c>
      <c r="I500" s="31">
        <f>VLOOKUP(H500,PACOTES!B:E,4,FALSE)</f>
        <v>0</v>
      </c>
      <c r="J500" s="77" t="s">
        <v>134</v>
      </c>
      <c r="K500" s="32">
        <v>3300</v>
      </c>
      <c r="L500" s="32">
        <v>3300</v>
      </c>
      <c r="M500" s="108">
        <v>0</v>
      </c>
      <c r="N500" s="104" t="s">
        <v>2248</v>
      </c>
      <c r="O500" s="104" t="s">
        <v>135</v>
      </c>
      <c r="P500" s="104" t="s">
        <v>135</v>
      </c>
    </row>
    <row r="501" spans="1:16" s="12" customFormat="1">
      <c r="A501" s="57">
        <v>494</v>
      </c>
      <c r="B501" s="37">
        <v>45009</v>
      </c>
      <c r="C501" s="28">
        <v>45009</v>
      </c>
      <c r="D501" s="29" t="s">
        <v>1368</v>
      </c>
      <c r="E501" s="35">
        <v>31996998673</v>
      </c>
      <c r="F501" s="31" t="s">
        <v>10</v>
      </c>
      <c r="G501" s="31" t="s">
        <v>1369</v>
      </c>
      <c r="H501" s="77" t="s">
        <v>2222</v>
      </c>
      <c r="I501" s="31">
        <f>VLOOKUP(H501,PACOTES!B:E,4,FALSE)</f>
        <v>4</v>
      </c>
      <c r="J501" s="77" t="s">
        <v>134</v>
      </c>
      <c r="K501" s="32">
        <v>3900</v>
      </c>
      <c r="L501" s="32">
        <v>3900</v>
      </c>
      <c r="M501" s="108">
        <v>0</v>
      </c>
      <c r="N501" s="32"/>
      <c r="O501" s="32"/>
      <c r="P501" s="32"/>
    </row>
    <row r="502" spans="1:16" s="12" customFormat="1">
      <c r="A502" s="57">
        <v>428</v>
      </c>
      <c r="B502" s="37">
        <v>45009</v>
      </c>
      <c r="C502" s="28">
        <v>45009</v>
      </c>
      <c r="D502" s="29" t="s">
        <v>2104</v>
      </c>
      <c r="E502" s="35">
        <v>22999556855</v>
      </c>
      <c r="F502" s="31" t="s">
        <v>10</v>
      </c>
      <c r="G502" s="31" t="s">
        <v>2105</v>
      </c>
      <c r="H502" s="77" t="s">
        <v>2222</v>
      </c>
      <c r="I502" s="31">
        <f>VLOOKUP(H502,PACOTES!B:E,4,FALSE)</f>
        <v>4</v>
      </c>
      <c r="J502" s="77" t="s">
        <v>134</v>
      </c>
      <c r="K502" s="32">
        <v>8600</v>
      </c>
      <c r="L502" s="32">
        <v>8600</v>
      </c>
      <c r="M502" s="108">
        <v>0</v>
      </c>
      <c r="N502" s="32"/>
      <c r="O502" s="32"/>
      <c r="P502" s="32"/>
    </row>
    <row r="503" spans="1:16" s="12" customFormat="1">
      <c r="A503" s="57">
        <v>472</v>
      </c>
      <c r="B503" s="37">
        <v>45046</v>
      </c>
      <c r="C503" s="28">
        <v>45046</v>
      </c>
      <c r="D503" s="29" t="s">
        <v>1272</v>
      </c>
      <c r="E503" s="35">
        <v>12981128020</v>
      </c>
      <c r="F503" s="31" t="s">
        <v>11</v>
      </c>
      <c r="G503" s="31" t="s">
        <v>1273</v>
      </c>
      <c r="H503" s="77" t="s">
        <v>2220</v>
      </c>
      <c r="I503" s="31">
        <f>VLOOKUP(H503,PACOTES!B:E,4,FALSE)</f>
        <v>6</v>
      </c>
      <c r="J503" s="77" t="s">
        <v>134</v>
      </c>
      <c r="K503" s="32">
        <v>2800</v>
      </c>
      <c r="L503" s="32">
        <v>2800</v>
      </c>
      <c r="M503" s="108">
        <v>0</v>
      </c>
      <c r="N503" s="32"/>
      <c r="O503" s="32"/>
      <c r="P503" s="32"/>
    </row>
    <row r="504" spans="1:16" s="12" customFormat="1">
      <c r="A504" s="57">
        <v>242</v>
      </c>
      <c r="B504" s="37">
        <v>45046</v>
      </c>
      <c r="C504" s="28">
        <v>45046</v>
      </c>
      <c r="D504" s="29" t="s">
        <v>1824</v>
      </c>
      <c r="E504" s="35">
        <v>21983540131</v>
      </c>
      <c r="F504" s="31" t="s">
        <v>11</v>
      </c>
      <c r="G504" s="31" t="s">
        <v>1826</v>
      </c>
      <c r="H504" s="77" t="s">
        <v>2221</v>
      </c>
      <c r="I504" s="31">
        <f>VLOOKUP(H504,PACOTES!B:E,4,FALSE)</f>
        <v>5</v>
      </c>
      <c r="J504" s="77" t="s">
        <v>134</v>
      </c>
      <c r="K504" s="32">
        <v>5000</v>
      </c>
      <c r="L504" s="32">
        <v>5000</v>
      </c>
      <c r="M504" s="108">
        <v>0</v>
      </c>
      <c r="N504" s="32"/>
      <c r="O504" s="32"/>
      <c r="P504" s="32"/>
    </row>
    <row r="505" spans="1:16" s="12" customFormat="1">
      <c r="A505" s="57">
        <v>365</v>
      </c>
      <c r="B505" s="37">
        <v>45048</v>
      </c>
      <c r="C505" s="28">
        <v>45048</v>
      </c>
      <c r="D505" s="29" t="s">
        <v>2028</v>
      </c>
      <c r="E505" s="35">
        <v>21996547844</v>
      </c>
      <c r="F505" s="31" t="s">
        <v>11</v>
      </c>
      <c r="G505" s="31" t="s">
        <v>1273</v>
      </c>
      <c r="H505" s="77" t="s">
        <v>2225</v>
      </c>
      <c r="I505" s="31">
        <f>VLOOKUP(H505,PACOTES!B:E,4,FALSE)</f>
        <v>1</v>
      </c>
      <c r="J505" s="77" t="s">
        <v>134</v>
      </c>
      <c r="K505" s="32">
        <v>2700</v>
      </c>
      <c r="L505" s="32">
        <v>2700</v>
      </c>
      <c r="M505" s="108">
        <v>0</v>
      </c>
      <c r="N505" s="32"/>
      <c r="O505" s="32"/>
      <c r="P505" s="32"/>
    </row>
    <row r="506" spans="1:16" s="12" customFormat="1">
      <c r="A506" s="57">
        <v>536</v>
      </c>
      <c r="B506" s="37">
        <v>45054</v>
      </c>
      <c r="C506" s="28">
        <v>45054</v>
      </c>
      <c r="D506" s="29" t="s">
        <v>1528</v>
      </c>
      <c r="E506" s="35">
        <v>67996126414</v>
      </c>
      <c r="F506" s="31" t="s">
        <v>11</v>
      </c>
      <c r="G506" s="31" t="s">
        <v>1529</v>
      </c>
      <c r="H506" s="77" t="s">
        <v>2220</v>
      </c>
      <c r="I506" s="31">
        <f>VLOOKUP(H506,PACOTES!B:E,4,FALSE)</f>
        <v>6</v>
      </c>
      <c r="J506" s="77" t="s">
        <v>134</v>
      </c>
      <c r="K506" s="32">
        <v>2800</v>
      </c>
      <c r="L506" s="32">
        <v>2800</v>
      </c>
      <c r="M506" s="108">
        <v>0</v>
      </c>
      <c r="N506" s="32"/>
      <c r="O506" s="32"/>
      <c r="P506" s="32"/>
    </row>
    <row r="507" spans="1:16" s="12" customFormat="1">
      <c r="A507" s="57">
        <v>251</v>
      </c>
      <c r="B507" s="37">
        <v>45084</v>
      </c>
      <c r="C507" s="28">
        <v>45084</v>
      </c>
      <c r="D507" s="29" t="s">
        <v>1841</v>
      </c>
      <c r="E507" s="35">
        <v>21984609609</v>
      </c>
      <c r="F507" s="31" t="s">
        <v>11</v>
      </c>
      <c r="G507" s="31" t="s">
        <v>1842</v>
      </c>
      <c r="H507" s="77" t="s">
        <v>2220</v>
      </c>
      <c r="I507" s="31">
        <f>VLOOKUP(H507,PACOTES!B:E,4,FALSE)</f>
        <v>6</v>
      </c>
      <c r="J507" s="77" t="s">
        <v>134</v>
      </c>
      <c r="K507" s="32">
        <v>2835</v>
      </c>
      <c r="L507" s="32">
        <v>2835</v>
      </c>
      <c r="M507" s="108">
        <v>0</v>
      </c>
      <c r="N507" s="32"/>
      <c r="O507" s="32"/>
      <c r="P507" s="32"/>
    </row>
    <row r="508" spans="1:16" s="12" customFormat="1">
      <c r="A508" s="57">
        <v>186</v>
      </c>
      <c r="B508" s="37">
        <v>45093</v>
      </c>
      <c r="C508" s="28">
        <v>45093</v>
      </c>
      <c r="D508" s="29" t="s">
        <v>1728</v>
      </c>
      <c r="E508" s="35">
        <v>21980140773</v>
      </c>
      <c r="F508" s="31" t="s">
        <v>11</v>
      </c>
      <c r="G508" s="31" t="s">
        <v>1729</v>
      </c>
      <c r="H508" s="77" t="s">
        <v>2220</v>
      </c>
      <c r="I508" s="31">
        <f>VLOOKUP(H508,PACOTES!B:E,4,FALSE)</f>
        <v>6</v>
      </c>
      <c r="J508" s="77" t="s">
        <v>134</v>
      </c>
      <c r="K508" s="32">
        <v>2900</v>
      </c>
      <c r="L508" s="32">
        <v>2900</v>
      </c>
      <c r="M508" s="108">
        <v>0</v>
      </c>
      <c r="N508" s="32"/>
      <c r="O508" s="32"/>
      <c r="P508" s="32"/>
    </row>
    <row r="509" spans="1:16" s="12" customFormat="1">
      <c r="A509" s="57">
        <v>53</v>
      </c>
      <c r="B509" s="37">
        <v>45100</v>
      </c>
      <c r="C509" s="28">
        <v>45100</v>
      </c>
      <c r="D509" s="29" t="s">
        <v>1409</v>
      </c>
      <c r="E509" s="35">
        <v>21965023838</v>
      </c>
      <c r="F509" s="31" t="s">
        <v>10</v>
      </c>
      <c r="G509" s="31" t="s">
        <v>1408</v>
      </c>
      <c r="H509" s="77" t="s">
        <v>2221</v>
      </c>
      <c r="I509" s="31">
        <f>VLOOKUP(H509,PACOTES!B:E,4,FALSE)</f>
        <v>5</v>
      </c>
      <c r="J509" s="77" t="s">
        <v>134</v>
      </c>
      <c r="K509" s="32">
        <v>3800</v>
      </c>
      <c r="L509" s="32">
        <v>3800</v>
      </c>
      <c r="M509" s="108">
        <v>0</v>
      </c>
      <c r="N509" s="32"/>
      <c r="O509" s="32"/>
      <c r="P509" s="32"/>
    </row>
    <row r="510" spans="1:16" s="12" customFormat="1">
      <c r="A510" s="57">
        <v>138</v>
      </c>
      <c r="B510" s="37">
        <v>45100</v>
      </c>
      <c r="C510" s="28">
        <v>45100</v>
      </c>
      <c r="D510" s="29" t="s">
        <v>1650</v>
      </c>
      <c r="E510" s="35">
        <v>21973192045</v>
      </c>
      <c r="F510" s="31" t="s">
        <v>10</v>
      </c>
      <c r="G510" s="31" t="s">
        <v>1651</v>
      </c>
      <c r="H510" s="77" t="s">
        <v>2221</v>
      </c>
      <c r="I510" s="31">
        <f>VLOOKUP(H510,PACOTES!B:E,4,FALSE)</f>
        <v>5</v>
      </c>
      <c r="J510" s="77" t="s">
        <v>419</v>
      </c>
      <c r="K510" s="32">
        <v>3400</v>
      </c>
      <c r="L510" s="32">
        <v>3400</v>
      </c>
      <c r="M510" s="108">
        <v>0</v>
      </c>
      <c r="N510" s="32"/>
      <c r="O510" s="32"/>
      <c r="P510" s="32"/>
    </row>
    <row r="511" spans="1:16" s="12" customFormat="1">
      <c r="A511" s="57">
        <v>288</v>
      </c>
      <c r="B511" s="37">
        <v>45106</v>
      </c>
      <c r="C511" s="37">
        <v>45106</v>
      </c>
      <c r="D511" s="29" t="s">
        <v>1912</v>
      </c>
      <c r="E511" s="35">
        <v>21988466768</v>
      </c>
      <c r="F511" s="31" t="s">
        <v>10</v>
      </c>
      <c r="G511" s="31" t="s">
        <v>1408</v>
      </c>
      <c r="H511" s="77" t="s">
        <v>2221</v>
      </c>
      <c r="I511" s="31">
        <f>VLOOKUP(H511,PACOTES!B:E,4,FALSE)</f>
        <v>5</v>
      </c>
      <c r="J511" s="77" t="s">
        <v>134</v>
      </c>
      <c r="K511" s="32">
        <v>4400</v>
      </c>
      <c r="L511" s="32">
        <v>4400</v>
      </c>
      <c r="M511" s="108">
        <v>0</v>
      </c>
      <c r="N511" s="32"/>
      <c r="O511" s="32"/>
      <c r="P511" s="32"/>
    </row>
    <row r="512" spans="1:16" s="12" customFormat="1">
      <c r="A512" s="57">
        <v>179</v>
      </c>
      <c r="B512" s="37">
        <v>45107</v>
      </c>
      <c r="C512" s="28">
        <v>45107</v>
      </c>
      <c r="D512" s="29" t="s">
        <v>1713</v>
      </c>
      <c r="E512" s="35">
        <v>21979740016</v>
      </c>
      <c r="F512" s="31" t="s">
        <v>10</v>
      </c>
      <c r="G512" s="31" t="s">
        <v>1408</v>
      </c>
      <c r="H512" s="77" t="s">
        <v>2221</v>
      </c>
      <c r="I512" s="31">
        <f>VLOOKUP(H512,PACOTES!B:E,4,FALSE)</f>
        <v>5</v>
      </c>
      <c r="J512" s="77" t="s">
        <v>134</v>
      </c>
      <c r="K512" s="32">
        <v>4400</v>
      </c>
      <c r="L512" s="32">
        <v>4400</v>
      </c>
      <c r="M512" s="108">
        <v>0</v>
      </c>
      <c r="N512" s="32"/>
      <c r="O512" s="32"/>
      <c r="P512" s="32"/>
    </row>
    <row r="513" spans="1:16" s="12" customFormat="1">
      <c r="A513" s="57">
        <v>119</v>
      </c>
      <c r="B513" s="37">
        <v>45108</v>
      </c>
      <c r="C513" s="28">
        <v>45108</v>
      </c>
      <c r="D513" s="29" t="s">
        <v>1622</v>
      </c>
      <c r="E513" s="35">
        <v>21970443658</v>
      </c>
      <c r="F513" s="31" t="s">
        <v>10</v>
      </c>
      <c r="G513" s="31" t="s">
        <v>1588</v>
      </c>
      <c r="H513" s="77" t="s">
        <v>2221</v>
      </c>
      <c r="I513" s="31">
        <f>VLOOKUP(H513,PACOTES!B:E,4,FALSE)</f>
        <v>5</v>
      </c>
      <c r="J513" s="77" t="s">
        <v>134</v>
      </c>
      <c r="K513" s="32">
        <v>3700</v>
      </c>
      <c r="L513" s="32">
        <v>3700</v>
      </c>
      <c r="M513" s="108">
        <v>0</v>
      </c>
      <c r="N513" s="32"/>
      <c r="O513" s="32"/>
      <c r="P513" s="32"/>
    </row>
    <row r="514" spans="1:16" s="12" customFormat="1">
      <c r="A514" s="57">
        <v>207</v>
      </c>
      <c r="B514" s="37">
        <v>45108</v>
      </c>
      <c r="C514" s="28">
        <v>45108</v>
      </c>
      <c r="D514" s="29" t="s">
        <v>1761</v>
      </c>
      <c r="E514" s="35">
        <v>21981616107</v>
      </c>
      <c r="F514" s="31" t="s">
        <v>10</v>
      </c>
      <c r="G514" s="31" t="s">
        <v>1588</v>
      </c>
      <c r="H514" s="77" t="s">
        <v>2221</v>
      </c>
      <c r="I514" s="31">
        <f>VLOOKUP(H514,PACOTES!B:E,4,FALSE)</f>
        <v>5</v>
      </c>
      <c r="J514" s="77" t="s">
        <v>134</v>
      </c>
      <c r="K514" s="32">
        <v>3900</v>
      </c>
      <c r="L514" s="32">
        <v>3900</v>
      </c>
      <c r="M514" s="108">
        <v>0</v>
      </c>
      <c r="N514" s="32"/>
      <c r="O514" s="32"/>
      <c r="P514" s="32"/>
    </row>
    <row r="515" spans="1:16" s="12" customFormat="1">
      <c r="A515" s="60">
        <v>203</v>
      </c>
      <c r="B515" s="47">
        <v>45110</v>
      </c>
      <c r="C515" s="47">
        <v>45110</v>
      </c>
      <c r="D515" s="29" t="s">
        <v>1755</v>
      </c>
      <c r="E515" s="35">
        <v>21981391237</v>
      </c>
      <c r="F515" s="31" t="s">
        <v>10</v>
      </c>
      <c r="G515" s="31" t="s">
        <v>1756</v>
      </c>
      <c r="H515" s="77" t="s">
        <v>2222</v>
      </c>
      <c r="I515" s="31">
        <f>VLOOKUP(H515,PACOTES!B:E,4,FALSE)</f>
        <v>4</v>
      </c>
      <c r="J515" s="77" t="s">
        <v>134</v>
      </c>
      <c r="K515" s="32">
        <v>3400</v>
      </c>
      <c r="L515" s="32">
        <v>3400</v>
      </c>
      <c r="M515" s="108">
        <v>0</v>
      </c>
      <c r="N515" s="32"/>
      <c r="O515" s="32"/>
      <c r="P515" s="32"/>
    </row>
    <row r="516" spans="1:16" s="12" customFormat="1">
      <c r="A516" s="57">
        <v>242</v>
      </c>
      <c r="B516" s="37">
        <v>45110</v>
      </c>
      <c r="C516" s="37">
        <v>45110</v>
      </c>
      <c r="D516" s="29" t="s">
        <v>1824</v>
      </c>
      <c r="E516" s="35">
        <v>21983540131</v>
      </c>
      <c r="F516" s="31" t="s">
        <v>11</v>
      </c>
      <c r="G516" s="31" t="s">
        <v>1827</v>
      </c>
      <c r="H516" s="77" t="s">
        <v>2221</v>
      </c>
      <c r="I516" s="31">
        <f>VLOOKUP(H516,PACOTES!B:E,4,FALSE)</f>
        <v>5</v>
      </c>
      <c r="J516" s="77" t="s">
        <v>134</v>
      </c>
      <c r="K516" s="32">
        <v>2600</v>
      </c>
      <c r="L516" s="32">
        <v>2600</v>
      </c>
      <c r="M516" s="108">
        <v>0</v>
      </c>
      <c r="N516" s="32"/>
      <c r="O516" s="32"/>
      <c r="P516" s="32"/>
    </row>
    <row r="517" spans="1:16" s="16" customFormat="1">
      <c r="A517" s="60">
        <v>242</v>
      </c>
      <c r="B517" s="47">
        <v>45110</v>
      </c>
      <c r="C517" s="47">
        <v>45110</v>
      </c>
      <c r="D517" s="29" t="s">
        <v>1824</v>
      </c>
      <c r="E517" s="35">
        <v>21983540131</v>
      </c>
      <c r="F517" s="31" t="s">
        <v>10</v>
      </c>
      <c r="G517" s="31" t="s">
        <v>1408</v>
      </c>
      <c r="H517" s="77" t="s">
        <v>2221</v>
      </c>
      <c r="I517" s="31">
        <f>VLOOKUP(H517,PACOTES!B:E,4,FALSE)</f>
        <v>5</v>
      </c>
      <c r="J517" s="77" t="s">
        <v>134</v>
      </c>
      <c r="K517" s="32">
        <v>4200</v>
      </c>
      <c r="L517" s="32">
        <v>4200</v>
      </c>
      <c r="M517" s="108">
        <v>0</v>
      </c>
      <c r="N517" s="32"/>
      <c r="O517" s="32"/>
      <c r="P517" s="32"/>
    </row>
    <row r="518" spans="1:16" s="16" customFormat="1">
      <c r="A518" s="60">
        <v>242</v>
      </c>
      <c r="B518" s="47">
        <v>45110</v>
      </c>
      <c r="C518" s="47">
        <v>45110</v>
      </c>
      <c r="D518" s="29" t="s">
        <v>1824</v>
      </c>
      <c r="E518" s="35">
        <v>21983540131</v>
      </c>
      <c r="F518" s="31" t="s">
        <v>10</v>
      </c>
      <c r="G518" s="31" t="s">
        <v>1408</v>
      </c>
      <c r="H518" s="77" t="s">
        <v>2221</v>
      </c>
      <c r="I518" s="31">
        <f>VLOOKUP(H518,PACOTES!B:E,4,FALSE)</f>
        <v>5</v>
      </c>
      <c r="J518" s="77" t="s">
        <v>134</v>
      </c>
      <c r="K518" s="32">
        <v>4200</v>
      </c>
      <c r="L518" s="32">
        <v>4200</v>
      </c>
      <c r="M518" s="108">
        <v>0</v>
      </c>
      <c r="N518" s="32"/>
      <c r="O518" s="32"/>
      <c r="P518" s="32"/>
    </row>
    <row r="519" spans="1:16" s="16" customFormat="1">
      <c r="A519" s="60">
        <v>272</v>
      </c>
      <c r="B519" s="47">
        <v>45110</v>
      </c>
      <c r="C519" s="47">
        <v>45110</v>
      </c>
      <c r="D519" s="29" t="s">
        <v>1866</v>
      </c>
      <c r="E519" s="35">
        <v>21987216350</v>
      </c>
      <c r="F519" s="31" t="s">
        <v>10</v>
      </c>
      <c r="G519" s="31" t="s">
        <v>1886</v>
      </c>
      <c r="H519" s="77" t="s">
        <v>2221</v>
      </c>
      <c r="I519" s="31">
        <f>VLOOKUP(H519,PACOTES!B:E,4,FALSE)</f>
        <v>5</v>
      </c>
      <c r="J519" s="77" t="s">
        <v>134</v>
      </c>
      <c r="K519" s="32">
        <v>4400</v>
      </c>
      <c r="L519" s="32">
        <v>4400</v>
      </c>
      <c r="M519" s="108">
        <v>0</v>
      </c>
      <c r="N519" s="32"/>
      <c r="O519" s="32"/>
      <c r="P519" s="32"/>
    </row>
    <row r="520" spans="1:16" s="16" customFormat="1">
      <c r="A520" s="60">
        <v>272</v>
      </c>
      <c r="B520" s="47">
        <v>45110</v>
      </c>
      <c r="C520" s="47">
        <v>45110</v>
      </c>
      <c r="D520" s="29" t="s">
        <v>1866</v>
      </c>
      <c r="E520" s="35">
        <v>21987216350</v>
      </c>
      <c r="F520" s="31" t="s">
        <v>10</v>
      </c>
      <c r="G520" s="31" t="s">
        <v>1887</v>
      </c>
      <c r="H520" s="77" t="s">
        <v>2221</v>
      </c>
      <c r="I520" s="31">
        <f>VLOOKUP(H520,PACOTES!B:E,4,FALSE)</f>
        <v>5</v>
      </c>
      <c r="J520" s="77" t="s">
        <v>134</v>
      </c>
      <c r="K520" s="32">
        <v>4400</v>
      </c>
      <c r="L520" s="32">
        <v>4400</v>
      </c>
      <c r="M520" s="108">
        <v>0</v>
      </c>
      <c r="N520" s="32"/>
      <c r="O520" s="32"/>
      <c r="P520" s="32"/>
    </row>
    <row r="521" spans="1:16" s="16" customFormat="1">
      <c r="A521" s="57">
        <v>322</v>
      </c>
      <c r="B521" s="37">
        <v>45112</v>
      </c>
      <c r="C521" s="37">
        <v>45112</v>
      </c>
      <c r="D521" s="29" t="s">
        <v>1963</v>
      </c>
      <c r="E521" s="35">
        <v>21992482431</v>
      </c>
      <c r="F521" s="31" t="s">
        <v>11</v>
      </c>
      <c r="G521" s="31" t="s">
        <v>1964</v>
      </c>
      <c r="H521" s="77" t="s">
        <v>2221</v>
      </c>
      <c r="I521" s="31">
        <f>VLOOKUP(H521,PACOTES!B:E,4,FALSE)</f>
        <v>5</v>
      </c>
      <c r="J521" s="77" t="s">
        <v>134</v>
      </c>
      <c r="K521" s="32">
        <v>2800</v>
      </c>
      <c r="L521" s="32">
        <v>2800</v>
      </c>
      <c r="M521" s="108">
        <v>0</v>
      </c>
      <c r="N521" s="32"/>
      <c r="O521" s="32"/>
      <c r="P521" s="32"/>
    </row>
    <row r="522" spans="1:16" s="12" customFormat="1">
      <c r="A522" s="57">
        <v>105</v>
      </c>
      <c r="B522" s="37">
        <v>45117</v>
      </c>
      <c r="C522" s="37">
        <v>45121</v>
      </c>
      <c r="D522" s="29" t="s">
        <v>1587</v>
      </c>
      <c r="E522" s="35">
        <v>21970129444</v>
      </c>
      <c r="F522" s="31" t="s">
        <v>10</v>
      </c>
      <c r="G522" s="31" t="s">
        <v>1588</v>
      </c>
      <c r="H522" s="77" t="s">
        <v>2221</v>
      </c>
      <c r="I522" s="31">
        <f>VLOOKUP(H522,PACOTES!B:E,4,FALSE)</f>
        <v>5</v>
      </c>
      <c r="J522" s="77" t="s">
        <v>134</v>
      </c>
      <c r="K522" s="32">
        <v>3700</v>
      </c>
      <c r="L522" s="32">
        <v>3700</v>
      </c>
      <c r="M522" s="108">
        <v>0</v>
      </c>
      <c r="N522" s="32"/>
      <c r="O522" s="32"/>
      <c r="P522" s="32"/>
    </row>
    <row r="523" spans="1:16" s="16" customFormat="1">
      <c r="A523" s="57">
        <v>120</v>
      </c>
      <c r="B523" s="37">
        <v>45127</v>
      </c>
      <c r="C523" s="28">
        <v>45135</v>
      </c>
      <c r="D523" s="29" t="s">
        <v>1623</v>
      </c>
      <c r="E523" s="35">
        <v>21970467872</v>
      </c>
      <c r="F523" s="31" t="s">
        <v>10</v>
      </c>
      <c r="G523" s="31" t="s">
        <v>1418</v>
      </c>
      <c r="H523" s="77" t="s">
        <v>2221</v>
      </c>
      <c r="I523" s="31">
        <f>VLOOKUP(H523,PACOTES!B:E,4,FALSE)</f>
        <v>5</v>
      </c>
      <c r="J523" s="77" t="s">
        <v>134</v>
      </c>
      <c r="K523" s="32">
        <v>3700</v>
      </c>
      <c r="L523" s="32">
        <v>3700</v>
      </c>
      <c r="M523" s="108">
        <v>0</v>
      </c>
      <c r="N523" s="32"/>
      <c r="O523" s="32"/>
      <c r="P523" s="32"/>
    </row>
    <row r="524" spans="1:16" s="16" customFormat="1">
      <c r="A524" s="57">
        <v>120</v>
      </c>
      <c r="B524" s="37">
        <v>45127</v>
      </c>
      <c r="C524" s="28">
        <v>45142</v>
      </c>
      <c r="D524" s="29" t="s">
        <v>1623</v>
      </c>
      <c r="E524" s="35">
        <v>21970467872</v>
      </c>
      <c r="F524" s="31" t="s">
        <v>10</v>
      </c>
      <c r="G524" s="31" t="s">
        <v>1418</v>
      </c>
      <c r="H524" s="77" t="s">
        <v>2221</v>
      </c>
      <c r="I524" s="31">
        <f>VLOOKUP(H524,PACOTES!B:E,4,FALSE)</f>
        <v>5</v>
      </c>
      <c r="J524" s="77" t="s">
        <v>134</v>
      </c>
      <c r="K524" s="32">
        <v>3700</v>
      </c>
      <c r="L524" s="32">
        <v>3700</v>
      </c>
      <c r="M524" s="108">
        <v>0</v>
      </c>
      <c r="N524" s="32"/>
      <c r="O524" s="32"/>
      <c r="P524" s="32"/>
    </row>
    <row r="525" spans="1:16" s="16" customFormat="1">
      <c r="A525" s="57">
        <v>181</v>
      </c>
      <c r="B525" s="37">
        <v>45127</v>
      </c>
      <c r="C525" s="28">
        <v>45135</v>
      </c>
      <c r="D525" s="29" t="s">
        <v>1716</v>
      </c>
      <c r="E525" s="35">
        <v>21979831462</v>
      </c>
      <c r="F525" s="31" t="s">
        <v>10</v>
      </c>
      <c r="G525" s="31" t="s">
        <v>1717</v>
      </c>
      <c r="H525" s="77" t="s">
        <v>2221</v>
      </c>
      <c r="I525" s="31">
        <f>VLOOKUP(H525,PACOTES!B:E,4,FALSE)</f>
        <v>5</v>
      </c>
      <c r="J525" s="77" t="s">
        <v>134</v>
      </c>
      <c r="K525" s="32">
        <v>3600</v>
      </c>
      <c r="L525" s="32">
        <v>3600</v>
      </c>
      <c r="M525" s="108">
        <v>0</v>
      </c>
      <c r="N525" s="32"/>
      <c r="O525" s="32"/>
      <c r="P525" s="32"/>
    </row>
    <row r="526" spans="1:16" s="16" customFormat="1">
      <c r="A526" s="57">
        <v>181</v>
      </c>
      <c r="B526" s="37">
        <v>45127</v>
      </c>
      <c r="C526" s="28">
        <v>45142</v>
      </c>
      <c r="D526" s="29" t="s">
        <v>1716</v>
      </c>
      <c r="E526" s="35">
        <v>21979831462</v>
      </c>
      <c r="F526" s="31" t="s">
        <v>10</v>
      </c>
      <c r="G526" s="31" t="s">
        <v>1717</v>
      </c>
      <c r="H526" s="77" t="s">
        <v>2221</v>
      </c>
      <c r="I526" s="31">
        <f>VLOOKUP(H526,PACOTES!B:E,4,FALSE)</f>
        <v>5</v>
      </c>
      <c r="J526" s="77" t="s">
        <v>134</v>
      </c>
      <c r="K526" s="32">
        <v>3600</v>
      </c>
      <c r="L526" s="32">
        <v>3600</v>
      </c>
      <c r="M526" s="108">
        <v>0</v>
      </c>
      <c r="N526" s="32"/>
      <c r="O526" s="32"/>
      <c r="P526" s="32"/>
    </row>
    <row r="527" spans="1:16" s="16" customFormat="1">
      <c r="A527" s="57">
        <v>378</v>
      </c>
      <c r="B527" s="37">
        <v>45127</v>
      </c>
      <c r="C527" s="28">
        <v>45135</v>
      </c>
      <c r="D527" s="29" t="s">
        <v>2048</v>
      </c>
      <c r="E527" s="35">
        <v>21997390522</v>
      </c>
      <c r="F527" s="31" t="s">
        <v>10</v>
      </c>
      <c r="G527" s="31" t="s">
        <v>1384</v>
      </c>
      <c r="H527" s="77" t="s">
        <v>2221</v>
      </c>
      <c r="I527" s="31">
        <f>VLOOKUP(H527,PACOTES!B:E,4,FALSE)</f>
        <v>5</v>
      </c>
      <c r="J527" s="77" t="s">
        <v>134</v>
      </c>
      <c r="K527" s="32">
        <v>3900</v>
      </c>
      <c r="L527" s="32">
        <v>3900</v>
      </c>
      <c r="M527" s="108">
        <v>0</v>
      </c>
      <c r="N527" s="32"/>
      <c r="O527" s="32"/>
      <c r="P527" s="32"/>
    </row>
    <row r="528" spans="1:16" s="16" customFormat="1">
      <c r="A528" s="57" t="s">
        <v>13</v>
      </c>
      <c r="B528" s="37">
        <v>45132</v>
      </c>
      <c r="C528" s="28">
        <v>45133</v>
      </c>
      <c r="D528" s="29" t="s">
        <v>1795</v>
      </c>
      <c r="E528" s="30" t="s">
        <v>13</v>
      </c>
      <c r="F528" s="31" t="s">
        <v>11</v>
      </c>
      <c r="G528" s="31" t="s">
        <v>1318</v>
      </c>
      <c r="H528" s="77" t="s">
        <v>2221</v>
      </c>
      <c r="I528" s="31">
        <f>VLOOKUP(H528,PACOTES!B:E,4,FALSE)</f>
        <v>5</v>
      </c>
      <c r="J528" s="77" t="s">
        <v>134</v>
      </c>
      <c r="K528" s="32">
        <v>2700</v>
      </c>
      <c r="L528" s="32">
        <v>2700</v>
      </c>
      <c r="M528" s="108">
        <v>0</v>
      </c>
      <c r="N528" s="32"/>
      <c r="O528" s="32"/>
      <c r="P528" s="32"/>
    </row>
    <row r="529" spans="1:16" s="16" customFormat="1">
      <c r="A529" s="57">
        <v>468</v>
      </c>
      <c r="B529" s="37">
        <v>45134</v>
      </c>
      <c r="C529" s="28">
        <v>45125</v>
      </c>
      <c r="D529" s="29" t="s">
        <v>1258</v>
      </c>
      <c r="E529" s="35">
        <v>11995177714</v>
      </c>
      <c r="F529" s="31" t="s">
        <v>10</v>
      </c>
      <c r="G529" s="31" t="s">
        <v>1259</v>
      </c>
      <c r="H529" s="77" t="s">
        <v>2221</v>
      </c>
      <c r="I529" s="31">
        <f>VLOOKUP(H529,PACOTES!B:E,4,FALSE)</f>
        <v>5</v>
      </c>
      <c r="J529" s="77" t="s">
        <v>134</v>
      </c>
      <c r="K529" s="32">
        <v>4400</v>
      </c>
      <c r="L529" s="32">
        <v>4400</v>
      </c>
      <c r="M529" s="108">
        <v>0</v>
      </c>
      <c r="N529" s="32"/>
      <c r="O529" s="32"/>
      <c r="P529" s="32"/>
    </row>
    <row r="530" spans="1:16" s="16" customFormat="1">
      <c r="A530" s="57">
        <v>272</v>
      </c>
      <c r="B530" s="37">
        <v>45134</v>
      </c>
      <c r="C530" s="28">
        <v>45118</v>
      </c>
      <c r="D530" s="29" t="s">
        <v>1866</v>
      </c>
      <c r="E530" s="35">
        <v>21987216350</v>
      </c>
      <c r="F530" s="31" t="s">
        <v>10</v>
      </c>
      <c r="G530" s="31" t="s">
        <v>1887</v>
      </c>
      <c r="H530" s="77" t="s">
        <v>2221</v>
      </c>
      <c r="I530" s="31">
        <f>VLOOKUP(H530,PACOTES!B:E,4,FALSE)</f>
        <v>5</v>
      </c>
      <c r="J530" s="77" t="s">
        <v>134</v>
      </c>
      <c r="K530" s="32">
        <v>4400</v>
      </c>
      <c r="L530" s="32">
        <v>4400</v>
      </c>
      <c r="M530" s="108">
        <v>0</v>
      </c>
      <c r="N530" s="32"/>
      <c r="O530" s="32"/>
      <c r="P530" s="32"/>
    </row>
    <row r="531" spans="1:16" s="16" customFormat="1">
      <c r="A531" s="57">
        <v>272</v>
      </c>
      <c r="B531" s="37">
        <v>45134</v>
      </c>
      <c r="C531" s="28">
        <v>45125</v>
      </c>
      <c r="D531" s="29" t="s">
        <v>1866</v>
      </c>
      <c r="E531" s="35">
        <v>21987216350</v>
      </c>
      <c r="F531" s="31" t="s">
        <v>10</v>
      </c>
      <c r="G531" s="31" t="s">
        <v>1888</v>
      </c>
      <c r="H531" s="77" t="s">
        <v>2221</v>
      </c>
      <c r="I531" s="31">
        <f>VLOOKUP(H531,PACOTES!B:E,4,FALSE)</f>
        <v>5</v>
      </c>
      <c r="J531" s="77" t="s">
        <v>134</v>
      </c>
      <c r="K531" s="32">
        <v>4400</v>
      </c>
      <c r="L531" s="32">
        <v>4400</v>
      </c>
      <c r="M531" s="108">
        <v>0</v>
      </c>
      <c r="N531" s="32"/>
      <c r="O531" s="32"/>
      <c r="P531" s="32"/>
    </row>
    <row r="532" spans="1:16" s="16" customFormat="1">
      <c r="A532" s="57">
        <v>272</v>
      </c>
      <c r="B532" s="37">
        <v>45134</v>
      </c>
      <c r="C532" s="28">
        <v>45132</v>
      </c>
      <c r="D532" s="29" t="s">
        <v>1866</v>
      </c>
      <c r="E532" s="35">
        <v>21987216350</v>
      </c>
      <c r="F532" s="31" t="s">
        <v>10</v>
      </c>
      <c r="G532" s="31" t="s">
        <v>1888</v>
      </c>
      <c r="H532" s="77" t="s">
        <v>2221</v>
      </c>
      <c r="I532" s="31">
        <f>VLOOKUP(H532,PACOTES!B:E,4,FALSE)</f>
        <v>5</v>
      </c>
      <c r="J532" s="77" t="s">
        <v>134</v>
      </c>
      <c r="K532" s="32">
        <v>4400</v>
      </c>
      <c r="L532" s="32">
        <v>4400</v>
      </c>
      <c r="M532" s="108">
        <v>0</v>
      </c>
      <c r="N532" s="32"/>
      <c r="O532" s="32"/>
      <c r="P532" s="32"/>
    </row>
    <row r="533" spans="1:16" s="16" customFormat="1">
      <c r="A533" s="57">
        <v>269</v>
      </c>
      <c r="B533" s="37">
        <v>45135</v>
      </c>
      <c r="C533" s="28">
        <v>45135</v>
      </c>
      <c r="D533" s="29" t="s">
        <v>1875</v>
      </c>
      <c r="E533" s="35">
        <v>21986944860</v>
      </c>
      <c r="F533" s="31" t="s">
        <v>10</v>
      </c>
      <c r="G533" s="31" t="s">
        <v>1341</v>
      </c>
      <c r="H533" s="77" t="s">
        <v>2222</v>
      </c>
      <c r="I533" s="31">
        <f>VLOOKUP(H533,PACOTES!B:E,4,FALSE)</f>
        <v>4</v>
      </c>
      <c r="J533" s="77" t="s">
        <v>134</v>
      </c>
      <c r="K533" s="32">
        <v>3700</v>
      </c>
      <c r="L533" s="32">
        <v>3700</v>
      </c>
      <c r="M533" s="108">
        <v>0</v>
      </c>
      <c r="N533" s="32"/>
      <c r="O533" s="32"/>
      <c r="P533" s="32"/>
    </row>
    <row r="534" spans="1:16" s="16" customFormat="1">
      <c r="A534" s="57">
        <v>269</v>
      </c>
      <c r="B534" s="37">
        <v>45135</v>
      </c>
      <c r="C534" s="28">
        <v>45142</v>
      </c>
      <c r="D534" s="29" t="s">
        <v>1875</v>
      </c>
      <c r="E534" s="35">
        <v>21986944860</v>
      </c>
      <c r="F534" s="31" t="s">
        <v>10</v>
      </c>
      <c r="G534" s="31" t="s">
        <v>1342</v>
      </c>
      <c r="H534" s="77" t="s">
        <v>2222</v>
      </c>
      <c r="I534" s="31">
        <f>VLOOKUP(H534,PACOTES!B:E,4,FALSE)</f>
        <v>4</v>
      </c>
      <c r="J534" s="77" t="s">
        <v>134</v>
      </c>
      <c r="K534" s="32">
        <v>3590</v>
      </c>
      <c r="L534" s="32">
        <v>3590</v>
      </c>
      <c r="M534" s="108">
        <v>0</v>
      </c>
      <c r="N534" s="32"/>
      <c r="O534" s="32"/>
      <c r="P534" s="32"/>
    </row>
    <row r="535" spans="1:16" s="16" customFormat="1">
      <c r="A535" s="57">
        <v>175</v>
      </c>
      <c r="B535" s="37">
        <v>45138</v>
      </c>
      <c r="C535" s="28">
        <v>45138</v>
      </c>
      <c r="D535" s="29" t="s">
        <v>1300</v>
      </c>
      <c r="E535" s="35">
        <v>21978835775</v>
      </c>
      <c r="F535" s="31" t="s">
        <v>11</v>
      </c>
      <c r="G535" s="31" t="s">
        <v>1707</v>
      </c>
      <c r="H535" s="77" t="s">
        <v>2221</v>
      </c>
      <c r="I535" s="31">
        <f>VLOOKUP(H535,PACOTES!B:E,4,FALSE)</f>
        <v>5</v>
      </c>
      <c r="J535" s="77" t="s">
        <v>134</v>
      </c>
      <c r="K535" s="32">
        <v>2790</v>
      </c>
      <c r="L535" s="32">
        <v>2790</v>
      </c>
      <c r="M535" s="108">
        <v>0</v>
      </c>
      <c r="N535" s="32"/>
      <c r="O535" s="32"/>
      <c r="P535" s="32"/>
    </row>
    <row r="536" spans="1:16" s="16" customFormat="1">
      <c r="A536" s="57">
        <v>369</v>
      </c>
      <c r="B536" s="37">
        <v>45138</v>
      </c>
      <c r="C536" s="28">
        <v>45138</v>
      </c>
      <c r="D536" s="29" t="s">
        <v>2036</v>
      </c>
      <c r="E536" s="35">
        <v>21996757866</v>
      </c>
      <c r="F536" s="31" t="s">
        <v>11</v>
      </c>
      <c r="G536" s="31" t="s">
        <v>1707</v>
      </c>
      <c r="H536" s="77" t="s">
        <v>2221</v>
      </c>
      <c r="I536" s="31">
        <f>VLOOKUP(H536,PACOTES!B:E,4,FALSE)</f>
        <v>5</v>
      </c>
      <c r="J536" s="77" t="s">
        <v>134</v>
      </c>
      <c r="K536" s="32">
        <v>2600</v>
      </c>
      <c r="L536" s="32">
        <v>2600</v>
      </c>
      <c r="M536" s="108">
        <v>0</v>
      </c>
      <c r="N536" s="32"/>
      <c r="O536" s="32"/>
      <c r="P536" s="32"/>
    </row>
    <row r="537" spans="1:16" s="16" customFormat="1">
      <c r="A537" s="57">
        <v>408</v>
      </c>
      <c r="B537" s="37">
        <v>45139</v>
      </c>
      <c r="C537" s="28">
        <v>45149</v>
      </c>
      <c r="D537" s="29" t="s">
        <v>2081</v>
      </c>
      <c r="E537" s="35">
        <v>22981140473</v>
      </c>
      <c r="F537" s="31" t="s">
        <v>10</v>
      </c>
      <c r="G537" s="31" t="s">
        <v>1342</v>
      </c>
      <c r="H537" s="77" t="s">
        <v>2221</v>
      </c>
      <c r="I537" s="31">
        <f>VLOOKUP(H537,PACOTES!B:E,4,FALSE)</f>
        <v>5</v>
      </c>
      <c r="J537" s="77" t="s">
        <v>134</v>
      </c>
      <c r="K537" s="32">
        <v>3700</v>
      </c>
      <c r="L537" s="32">
        <v>3700</v>
      </c>
      <c r="M537" s="108">
        <v>0</v>
      </c>
      <c r="N537" s="32"/>
      <c r="O537" s="32"/>
      <c r="P537" s="32"/>
    </row>
    <row r="538" spans="1:16" s="16" customFormat="1">
      <c r="A538" s="57">
        <v>25</v>
      </c>
      <c r="B538" s="37">
        <v>45141</v>
      </c>
      <c r="C538" s="28">
        <v>45141</v>
      </c>
      <c r="D538" s="29" t="s">
        <v>1280</v>
      </c>
      <c r="E538" s="35">
        <v>21964329298</v>
      </c>
      <c r="F538" s="31" t="s">
        <v>10</v>
      </c>
      <c r="G538" s="31" t="s">
        <v>1281</v>
      </c>
      <c r="H538" s="77" t="s">
        <v>2221</v>
      </c>
      <c r="I538" s="31">
        <f>VLOOKUP(H538,PACOTES!B:E,4,FALSE)</f>
        <v>5</v>
      </c>
      <c r="J538" s="77" t="s">
        <v>419</v>
      </c>
      <c r="K538" s="32">
        <v>3400</v>
      </c>
      <c r="L538" s="32">
        <v>3400</v>
      </c>
      <c r="M538" s="108">
        <v>0</v>
      </c>
      <c r="N538" s="32"/>
      <c r="O538" s="32"/>
      <c r="P538" s="32"/>
    </row>
    <row r="539" spans="1:16" s="16" customFormat="1">
      <c r="A539" s="57">
        <v>53</v>
      </c>
      <c r="B539" s="37">
        <v>45141</v>
      </c>
      <c r="C539" s="28">
        <v>45066</v>
      </c>
      <c r="D539" s="29" t="s">
        <v>1410</v>
      </c>
      <c r="E539" s="35">
        <v>21965023838</v>
      </c>
      <c r="F539" s="31" t="s">
        <v>10</v>
      </c>
      <c r="G539" s="31" t="s">
        <v>1377</v>
      </c>
      <c r="H539" s="77" t="s">
        <v>2221</v>
      </c>
      <c r="I539" s="31">
        <f>VLOOKUP(H539,PACOTES!B:E,4,FALSE)</f>
        <v>5</v>
      </c>
      <c r="J539" s="77" t="s">
        <v>134</v>
      </c>
      <c r="K539" s="32">
        <v>3800</v>
      </c>
      <c r="L539" s="32">
        <v>3800</v>
      </c>
      <c r="M539" s="108">
        <v>0</v>
      </c>
      <c r="N539" s="32"/>
      <c r="O539" s="32"/>
      <c r="P539" s="32"/>
    </row>
    <row r="540" spans="1:16" s="16" customFormat="1">
      <c r="A540" s="57">
        <v>135</v>
      </c>
      <c r="B540" s="37">
        <v>45141</v>
      </c>
      <c r="C540" s="28">
        <v>45141</v>
      </c>
      <c r="D540" s="29" t="s">
        <v>1643</v>
      </c>
      <c r="E540" s="35">
        <v>21972744421</v>
      </c>
      <c r="F540" s="31" t="s">
        <v>10</v>
      </c>
      <c r="G540" s="31" t="s">
        <v>1644</v>
      </c>
      <c r="H540" s="77" t="s">
        <v>2221</v>
      </c>
      <c r="I540" s="31">
        <f>VLOOKUP(H540,PACOTES!B:E,4,FALSE)</f>
        <v>5</v>
      </c>
      <c r="J540" s="77" t="s">
        <v>134</v>
      </c>
      <c r="K540" s="32">
        <v>6400</v>
      </c>
      <c r="L540" s="32">
        <v>6400</v>
      </c>
      <c r="M540" s="108">
        <v>0</v>
      </c>
      <c r="N540" s="32"/>
      <c r="O540" s="32"/>
      <c r="P540" s="32"/>
    </row>
    <row r="541" spans="1:16" s="16" customFormat="1">
      <c r="A541" s="57">
        <v>522</v>
      </c>
      <c r="B541" s="37">
        <v>45153</v>
      </c>
      <c r="C541" s="28">
        <v>45153</v>
      </c>
      <c r="D541" s="29" t="s">
        <v>1482</v>
      </c>
      <c r="E541" s="35">
        <v>54984285596</v>
      </c>
      <c r="F541" s="31" t="s">
        <v>10</v>
      </c>
      <c r="G541" s="31" t="s">
        <v>1384</v>
      </c>
      <c r="H541" s="77" t="s">
        <v>2221</v>
      </c>
      <c r="I541" s="31">
        <f>VLOOKUP(H541,PACOTES!B:E,4,FALSE)</f>
        <v>5</v>
      </c>
      <c r="J541" s="77" t="s">
        <v>134</v>
      </c>
      <c r="K541" s="32">
        <v>3900</v>
      </c>
      <c r="L541" s="32">
        <v>3900</v>
      </c>
      <c r="M541" s="108">
        <v>0</v>
      </c>
      <c r="N541" s="32"/>
      <c r="O541" s="32"/>
      <c r="P541" s="32"/>
    </row>
    <row r="542" spans="1:16" s="16" customFormat="1">
      <c r="A542" s="57">
        <v>120</v>
      </c>
      <c r="B542" s="37">
        <v>45153</v>
      </c>
      <c r="C542" s="28">
        <v>45153</v>
      </c>
      <c r="D542" s="29" t="s">
        <v>1623</v>
      </c>
      <c r="E542" s="35">
        <v>21970467872</v>
      </c>
      <c r="F542" s="31" t="s">
        <v>10</v>
      </c>
      <c r="G542" s="31" t="s">
        <v>1418</v>
      </c>
      <c r="H542" s="77" t="s">
        <v>2221</v>
      </c>
      <c r="I542" s="31">
        <f>VLOOKUP(H542,PACOTES!B:E,4,FALSE)</f>
        <v>5</v>
      </c>
      <c r="J542" s="77" t="s">
        <v>134</v>
      </c>
      <c r="K542" s="32">
        <v>3590</v>
      </c>
      <c r="L542" s="32">
        <v>3590</v>
      </c>
      <c r="M542" s="108">
        <v>0</v>
      </c>
      <c r="N542" s="32"/>
      <c r="O542" s="32"/>
      <c r="P542" s="32"/>
    </row>
    <row r="543" spans="1:16" s="16" customFormat="1">
      <c r="A543" s="57">
        <v>207</v>
      </c>
      <c r="B543" s="37">
        <v>45153</v>
      </c>
      <c r="C543" s="28">
        <v>45153</v>
      </c>
      <c r="D543" s="29" t="s">
        <v>1761</v>
      </c>
      <c r="E543" s="35">
        <v>21981616107</v>
      </c>
      <c r="F543" s="31" t="s">
        <v>10</v>
      </c>
      <c r="G543" s="31" t="s">
        <v>1762</v>
      </c>
      <c r="H543" s="77" t="s">
        <v>2221</v>
      </c>
      <c r="I543" s="31">
        <f>VLOOKUP(H543,PACOTES!B:E,4,FALSE)</f>
        <v>5</v>
      </c>
      <c r="J543" s="77" t="s">
        <v>134</v>
      </c>
      <c r="K543" s="32">
        <v>3900</v>
      </c>
      <c r="L543" s="32">
        <v>3900</v>
      </c>
      <c r="M543" s="108">
        <v>0</v>
      </c>
      <c r="N543" s="32"/>
      <c r="O543" s="32"/>
      <c r="P543" s="32"/>
    </row>
    <row r="544" spans="1:16" s="16" customFormat="1">
      <c r="A544" s="57">
        <v>317</v>
      </c>
      <c r="B544" s="37">
        <v>45153</v>
      </c>
      <c r="C544" s="28">
        <v>45153</v>
      </c>
      <c r="D544" s="29" t="s">
        <v>1199</v>
      </c>
      <c r="E544" s="35">
        <v>21992140417</v>
      </c>
      <c r="F544" s="31" t="s">
        <v>10</v>
      </c>
      <c r="G544" s="31" t="s">
        <v>1954</v>
      </c>
      <c r="H544" s="77" t="s">
        <v>2222</v>
      </c>
      <c r="I544" s="31">
        <f>VLOOKUP(H544,PACOTES!B:E,4,FALSE)</f>
        <v>4</v>
      </c>
      <c r="J544" s="77" t="s">
        <v>134</v>
      </c>
      <c r="K544" s="32">
        <v>3900</v>
      </c>
      <c r="L544" s="32">
        <v>3900</v>
      </c>
      <c r="M544" s="108">
        <v>0</v>
      </c>
      <c r="N544" s="32"/>
      <c r="O544" s="32"/>
      <c r="P544" s="32"/>
    </row>
    <row r="545" spans="1:16" s="12" customFormat="1">
      <c r="A545" s="57">
        <v>53</v>
      </c>
      <c r="B545" s="37">
        <v>45156</v>
      </c>
      <c r="C545" s="28">
        <v>45156</v>
      </c>
      <c r="D545" s="29" t="s">
        <v>1409</v>
      </c>
      <c r="E545" s="35">
        <v>21965023838</v>
      </c>
      <c r="F545" s="31" t="s">
        <v>10</v>
      </c>
      <c r="G545" s="31" t="s">
        <v>1408</v>
      </c>
      <c r="H545" s="77" t="s">
        <v>2221</v>
      </c>
      <c r="I545" s="31">
        <f>VLOOKUP(H545,PACOTES!B:E,4,FALSE)</f>
        <v>5</v>
      </c>
      <c r="J545" s="77" t="s">
        <v>134</v>
      </c>
      <c r="K545" s="32">
        <v>3900</v>
      </c>
      <c r="L545" s="32">
        <v>3900</v>
      </c>
      <c r="M545" s="108">
        <v>0</v>
      </c>
      <c r="N545" s="32"/>
      <c r="O545" s="32"/>
      <c r="P545" s="32"/>
    </row>
    <row r="546" spans="1:16" s="12" customFormat="1">
      <c r="A546" s="57">
        <v>53</v>
      </c>
      <c r="B546" s="37">
        <v>45156</v>
      </c>
      <c r="C546" s="28">
        <v>45156</v>
      </c>
      <c r="D546" s="29" t="s">
        <v>1409</v>
      </c>
      <c r="E546" s="35">
        <v>21965023838</v>
      </c>
      <c r="F546" s="31" t="s">
        <v>10</v>
      </c>
      <c r="G546" s="31" t="s">
        <v>1408</v>
      </c>
      <c r="H546" s="77" t="s">
        <v>2221</v>
      </c>
      <c r="I546" s="31">
        <f>VLOOKUP(H546,PACOTES!B:E,4,FALSE)</f>
        <v>5</v>
      </c>
      <c r="J546" s="77" t="s">
        <v>134</v>
      </c>
      <c r="K546" s="32">
        <v>3900</v>
      </c>
      <c r="L546" s="32">
        <v>3900</v>
      </c>
      <c r="M546" s="108">
        <v>0</v>
      </c>
      <c r="N546" s="32"/>
      <c r="O546" s="32"/>
      <c r="P546" s="32"/>
    </row>
    <row r="547" spans="1:16" s="12" customFormat="1">
      <c r="A547" s="57">
        <v>390</v>
      </c>
      <c r="B547" s="37">
        <v>45161</v>
      </c>
      <c r="C547" s="28">
        <v>45161</v>
      </c>
      <c r="D547" s="29" t="s">
        <v>1623</v>
      </c>
      <c r="E547" s="35">
        <v>21998637195</v>
      </c>
      <c r="F547" s="31" t="s">
        <v>11</v>
      </c>
      <c r="G547" s="31" t="s">
        <v>2057</v>
      </c>
      <c r="H547" s="77" t="s">
        <v>2221</v>
      </c>
      <c r="I547" s="31">
        <f>VLOOKUP(H547,PACOTES!B:E,4,FALSE)</f>
        <v>5</v>
      </c>
      <c r="J547" s="77" t="s">
        <v>419</v>
      </c>
      <c r="K547" s="32">
        <v>2400</v>
      </c>
      <c r="L547" s="32">
        <v>2400</v>
      </c>
      <c r="M547" s="108">
        <v>0</v>
      </c>
      <c r="N547" s="32"/>
      <c r="O547" s="32"/>
      <c r="P547" s="32"/>
    </row>
    <row r="548" spans="1:16" s="12" customFormat="1">
      <c r="A548" s="57">
        <v>395</v>
      </c>
      <c r="B548" s="37">
        <v>45161</v>
      </c>
      <c r="C548" s="28">
        <v>45161</v>
      </c>
      <c r="D548" s="29" t="s">
        <v>1234</v>
      </c>
      <c r="E548" s="35">
        <v>21998818998</v>
      </c>
      <c r="F548" s="31" t="s">
        <v>11</v>
      </c>
      <c r="G548" s="31" t="s">
        <v>1422</v>
      </c>
      <c r="H548" s="77" t="s">
        <v>2221</v>
      </c>
      <c r="I548" s="31">
        <f>VLOOKUP(H548,PACOTES!B:E,4,FALSE)</f>
        <v>5</v>
      </c>
      <c r="J548" s="77" t="s">
        <v>134</v>
      </c>
      <c r="K548" s="32">
        <v>2590</v>
      </c>
      <c r="L548" s="32">
        <v>2590</v>
      </c>
      <c r="M548" s="108">
        <v>0</v>
      </c>
      <c r="N548" s="32"/>
      <c r="O548" s="32"/>
      <c r="P548" s="32"/>
    </row>
    <row r="549" spans="1:16" s="12" customFormat="1">
      <c r="A549" s="57">
        <v>428</v>
      </c>
      <c r="B549" s="37">
        <v>45161</v>
      </c>
      <c r="C549" s="28">
        <v>45161</v>
      </c>
      <c r="D549" s="29" t="s">
        <v>2104</v>
      </c>
      <c r="E549" s="35">
        <v>22999556855</v>
      </c>
      <c r="F549" s="31" t="s">
        <v>10</v>
      </c>
      <c r="G549" s="31" t="s">
        <v>1888</v>
      </c>
      <c r="H549" s="77" t="s">
        <v>2225</v>
      </c>
      <c r="I549" s="31">
        <f>VLOOKUP(H549,PACOTES!B:E,4,FALSE)</f>
        <v>1</v>
      </c>
      <c r="J549" s="77" t="s">
        <v>134</v>
      </c>
      <c r="K549" s="32">
        <v>4200</v>
      </c>
      <c r="L549" s="32">
        <v>4200</v>
      </c>
      <c r="M549" s="108">
        <v>0</v>
      </c>
      <c r="N549" s="32"/>
      <c r="O549" s="32"/>
      <c r="P549" s="32"/>
    </row>
    <row r="550" spans="1:16" s="16" customFormat="1">
      <c r="A550" s="57">
        <v>428</v>
      </c>
      <c r="B550" s="37">
        <v>45161</v>
      </c>
      <c r="C550" s="28">
        <v>45161</v>
      </c>
      <c r="D550" s="29" t="s">
        <v>2104</v>
      </c>
      <c r="E550" s="35">
        <v>22999556855</v>
      </c>
      <c r="F550" s="31" t="s">
        <v>10</v>
      </c>
      <c r="G550" s="31" t="s">
        <v>1408</v>
      </c>
      <c r="H550" s="77" t="s">
        <v>2225</v>
      </c>
      <c r="I550" s="31">
        <f>VLOOKUP(H550,PACOTES!B:E,4,FALSE)</f>
        <v>1</v>
      </c>
      <c r="J550" s="77" t="s">
        <v>134</v>
      </c>
      <c r="K550" s="32">
        <v>4200</v>
      </c>
      <c r="L550" s="32">
        <v>4200</v>
      </c>
      <c r="M550" s="108">
        <v>0</v>
      </c>
      <c r="N550" s="32"/>
      <c r="O550" s="32"/>
      <c r="P550" s="32"/>
    </row>
    <row r="551" spans="1:16" s="16" customFormat="1">
      <c r="A551" s="57">
        <v>192</v>
      </c>
      <c r="B551" s="37">
        <v>45166</v>
      </c>
      <c r="C551" s="28">
        <v>45166</v>
      </c>
      <c r="D551" s="29" t="s">
        <v>1737</v>
      </c>
      <c r="E551" s="35">
        <v>21980859231</v>
      </c>
      <c r="F551" s="31" t="s">
        <v>10</v>
      </c>
      <c r="G551" s="31" t="s">
        <v>1342</v>
      </c>
      <c r="H551" s="77" t="s">
        <v>2221</v>
      </c>
      <c r="I551" s="31">
        <f>VLOOKUP(H551,PACOTES!B:E,4,FALSE)</f>
        <v>5</v>
      </c>
      <c r="J551" s="77" t="s">
        <v>134</v>
      </c>
      <c r="K551" s="32">
        <v>3668.04</v>
      </c>
      <c r="L551" s="32">
        <v>3668.04</v>
      </c>
      <c r="M551" s="108">
        <v>0</v>
      </c>
      <c r="N551" s="32"/>
      <c r="O551" s="32"/>
      <c r="P551" s="32"/>
    </row>
    <row r="552" spans="1:16" s="17" customFormat="1">
      <c r="A552" s="57">
        <v>174</v>
      </c>
      <c r="B552" s="37">
        <v>45187</v>
      </c>
      <c r="C552" s="28">
        <v>45187</v>
      </c>
      <c r="D552" s="29" t="s">
        <v>1705</v>
      </c>
      <c r="E552" s="35">
        <v>21977501074</v>
      </c>
      <c r="F552" s="31" t="s">
        <v>10</v>
      </c>
      <c r="G552" s="31" t="s">
        <v>1706</v>
      </c>
      <c r="H552" s="77" t="s">
        <v>2221</v>
      </c>
      <c r="I552" s="31">
        <f>VLOOKUP(H552,PACOTES!B:E,4,FALSE)</f>
        <v>5</v>
      </c>
      <c r="J552" s="77" t="s">
        <v>134</v>
      </c>
      <c r="K552" s="32">
        <v>4400</v>
      </c>
      <c r="L552" s="32">
        <v>4400</v>
      </c>
      <c r="M552" s="108">
        <v>0</v>
      </c>
      <c r="N552" s="32"/>
      <c r="O552" s="32"/>
      <c r="P552" s="32"/>
    </row>
    <row r="553" spans="1:16" s="16" customFormat="1">
      <c r="A553" s="57">
        <v>271</v>
      </c>
      <c r="B553" s="37">
        <v>45187</v>
      </c>
      <c r="C553" s="28">
        <v>45187</v>
      </c>
      <c r="D553" s="29" t="s">
        <v>1882</v>
      </c>
      <c r="E553" s="35">
        <v>21987140808</v>
      </c>
      <c r="F553" s="31" t="s">
        <v>10</v>
      </c>
      <c r="G553" s="31" t="s">
        <v>1390</v>
      </c>
      <c r="H553" s="77" t="s">
        <v>2221</v>
      </c>
      <c r="I553" s="31">
        <f>VLOOKUP(H553,PACOTES!B:E,4,FALSE)</f>
        <v>5</v>
      </c>
      <c r="J553" s="77" t="s">
        <v>134</v>
      </c>
      <c r="K553" s="32">
        <v>3790</v>
      </c>
      <c r="L553" s="32">
        <v>3790</v>
      </c>
      <c r="M553" s="108">
        <v>0</v>
      </c>
      <c r="N553" s="32"/>
      <c r="O553" s="32"/>
      <c r="P553" s="32"/>
    </row>
    <row r="554" spans="1:16" s="4" customFormat="1">
      <c r="A554" s="57">
        <v>42</v>
      </c>
      <c r="B554" s="37">
        <v>45189</v>
      </c>
      <c r="C554" s="28">
        <v>45189</v>
      </c>
      <c r="D554" s="29" t="s">
        <v>1351</v>
      </c>
      <c r="E554" s="35">
        <v>21964701473</v>
      </c>
      <c r="F554" s="31" t="s">
        <v>10</v>
      </c>
      <c r="G554" s="31" t="s">
        <v>1352</v>
      </c>
      <c r="H554" s="77" t="s">
        <v>2226</v>
      </c>
      <c r="I554" s="31">
        <f>VLOOKUP(H554,PACOTES!B:E,4,FALSE)</f>
        <v>0</v>
      </c>
      <c r="J554" s="77" t="s">
        <v>134</v>
      </c>
      <c r="K554" s="32">
        <v>4400</v>
      </c>
      <c r="L554" s="32">
        <v>4400</v>
      </c>
      <c r="M554" s="108">
        <v>0</v>
      </c>
      <c r="N554" s="104" t="s">
        <v>2238</v>
      </c>
      <c r="O554" s="104" t="s">
        <v>135</v>
      </c>
      <c r="P554" s="104" t="s">
        <v>135</v>
      </c>
    </row>
    <row r="555" spans="1:16" s="4" customFormat="1">
      <c r="A555" s="57">
        <v>133</v>
      </c>
      <c r="B555" s="37">
        <v>45189</v>
      </c>
      <c r="C555" s="28">
        <v>45189</v>
      </c>
      <c r="D555" s="29" t="s">
        <v>1637</v>
      </c>
      <c r="E555" s="35">
        <v>21972555793</v>
      </c>
      <c r="F555" s="31" t="s">
        <v>10</v>
      </c>
      <c r="G555" s="31" t="s">
        <v>1638</v>
      </c>
      <c r="H555" s="77" t="s">
        <v>2221</v>
      </c>
      <c r="I555" s="31">
        <f>VLOOKUP(H555,PACOTES!B:E,4,FALSE)</f>
        <v>5</v>
      </c>
      <c r="J555" s="77" t="s">
        <v>419</v>
      </c>
      <c r="K555" s="32">
        <v>3400</v>
      </c>
      <c r="L555" s="32">
        <v>3400</v>
      </c>
      <c r="M555" s="108">
        <v>0</v>
      </c>
      <c r="N555" s="32"/>
      <c r="O555" s="32"/>
      <c r="P555" s="32"/>
    </row>
    <row r="556" spans="1:16" s="4" customFormat="1">
      <c r="A556" s="57">
        <v>269</v>
      </c>
      <c r="B556" s="37">
        <v>45189</v>
      </c>
      <c r="C556" s="28">
        <v>45189</v>
      </c>
      <c r="D556" s="29" t="s">
        <v>1875</v>
      </c>
      <c r="E556" s="35">
        <v>21986944860</v>
      </c>
      <c r="F556" s="31" t="s">
        <v>10</v>
      </c>
      <c r="G556" s="31" t="s">
        <v>1876</v>
      </c>
      <c r="H556" s="77" t="s">
        <v>2222</v>
      </c>
      <c r="I556" s="31">
        <f>VLOOKUP(H556,PACOTES!B:E,4,FALSE)</f>
        <v>4</v>
      </c>
      <c r="J556" s="77" t="s">
        <v>134</v>
      </c>
      <c r="K556" s="32">
        <v>3900</v>
      </c>
      <c r="L556" s="32">
        <v>3900</v>
      </c>
      <c r="M556" s="108">
        <v>0</v>
      </c>
      <c r="N556" s="32"/>
      <c r="O556" s="32"/>
      <c r="P556" s="32"/>
    </row>
    <row r="557" spans="1:16" s="4" customFormat="1">
      <c r="A557" s="57">
        <v>133</v>
      </c>
      <c r="B557" s="37">
        <v>45194</v>
      </c>
      <c r="C557" s="28">
        <v>45189</v>
      </c>
      <c r="D557" s="29" t="s">
        <v>1637</v>
      </c>
      <c r="E557" s="35">
        <v>21972555793</v>
      </c>
      <c r="F557" s="31" t="s">
        <v>7</v>
      </c>
      <c r="G557" s="31" t="s">
        <v>1639</v>
      </c>
      <c r="H557" s="77" t="s">
        <v>2214</v>
      </c>
      <c r="I557" s="31"/>
      <c r="J557" s="77" t="s">
        <v>2214</v>
      </c>
      <c r="K557" s="32">
        <v>2300</v>
      </c>
      <c r="L557" s="32">
        <v>2300</v>
      </c>
      <c r="M557" s="108">
        <v>0</v>
      </c>
      <c r="N557" s="104" t="s">
        <v>2214</v>
      </c>
      <c r="O557" s="32"/>
      <c r="P557" s="32"/>
    </row>
    <row r="558" spans="1:16" s="4" customFormat="1">
      <c r="A558" s="57">
        <v>180</v>
      </c>
      <c r="B558" s="37">
        <v>45195</v>
      </c>
      <c r="C558" s="28">
        <v>45195</v>
      </c>
      <c r="D558" s="29" t="s">
        <v>1714</v>
      </c>
      <c r="E558" s="35">
        <v>21979755450</v>
      </c>
      <c r="F558" s="31" t="s">
        <v>10</v>
      </c>
      <c r="G558" s="31" t="s">
        <v>1715</v>
      </c>
      <c r="H558" s="77" t="s">
        <v>2221</v>
      </c>
      <c r="I558" s="31">
        <f>VLOOKUP(H558,PACOTES!B:E,4,FALSE)</f>
        <v>5</v>
      </c>
      <c r="J558" s="77" t="s">
        <v>134</v>
      </c>
      <c r="K558" s="32">
        <v>4400</v>
      </c>
      <c r="L558" s="32">
        <v>4400</v>
      </c>
      <c r="M558" s="108">
        <v>0</v>
      </c>
      <c r="N558" s="32"/>
      <c r="O558" s="32"/>
      <c r="P558" s="32"/>
    </row>
    <row r="559" spans="1:16">
      <c r="A559" s="57">
        <v>273</v>
      </c>
      <c r="B559" s="37">
        <v>45195</v>
      </c>
      <c r="C559" s="28">
        <v>45195</v>
      </c>
      <c r="D559" s="29" t="s">
        <v>1621</v>
      </c>
      <c r="E559" s="35">
        <v>21987346005</v>
      </c>
      <c r="F559" s="31" t="s">
        <v>10</v>
      </c>
      <c r="G559" s="31" t="s">
        <v>1736</v>
      </c>
      <c r="H559" s="77" t="s">
        <v>2221</v>
      </c>
      <c r="I559" s="31">
        <f>VLOOKUP(H559,PACOTES!B:E,4,FALSE)</f>
        <v>5</v>
      </c>
      <c r="J559" s="77" t="s">
        <v>134</v>
      </c>
      <c r="K559" s="32">
        <v>4400</v>
      </c>
      <c r="L559" s="32">
        <v>4400</v>
      </c>
      <c r="M559" s="108">
        <v>0</v>
      </c>
      <c r="N559" s="32"/>
      <c r="O559" s="32"/>
      <c r="P559" s="32"/>
    </row>
    <row r="560" spans="1:16">
      <c r="A560" s="57">
        <v>544</v>
      </c>
      <c r="B560" s="37">
        <v>45205</v>
      </c>
      <c r="C560" s="28">
        <v>45208</v>
      </c>
      <c r="D560" s="29" t="s">
        <v>1554</v>
      </c>
      <c r="E560" s="35">
        <v>71999776437</v>
      </c>
      <c r="F560" s="31" t="s">
        <v>10</v>
      </c>
      <c r="G560" s="31" t="s">
        <v>1555</v>
      </c>
      <c r="H560" s="77" t="s">
        <v>2221</v>
      </c>
      <c r="I560" s="31">
        <f>VLOOKUP(H560,PACOTES!B:E,4,FALSE)</f>
        <v>5</v>
      </c>
      <c r="J560" s="77" t="s">
        <v>134</v>
      </c>
      <c r="K560" s="32">
        <v>3700</v>
      </c>
      <c r="L560" s="32">
        <v>3700</v>
      </c>
      <c r="M560" s="108">
        <v>0</v>
      </c>
      <c r="N560" s="32"/>
      <c r="O560" s="32"/>
      <c r="P560" s="32"/>
    </row>
    <row r="561" spans="1:16" s="12" customFormat="1">
      <c r="A561" s="57">
        <v>191</v>
      </c>
      <c r="B561" s="37">
        <v>45205</v>
      </c>
      <c r="C561" s="37">
        <v>45205</v>
      </c>
      <c r="D561" s="29" t="s">
        <v>1340</v>
      </c>
      <c r="E561" s="35">
        <v>21980811638</v>
      </c>
      <c r="F561" s="31" t="s">
        <v>10</v>
      </c>
      <c r="G561" s="31" t="s">
        <v>1736</v>
      </c>
      <c r="H561" s="77" t="s">
        <v>2221</v>
      </c>
      <c r="I561" s="31">
        <f>VLOOKUP(H561,PACOTES!B:E,4,FALSE)</f>
        <v>5</v>
      </c>
      <c r="J561" s="77" t="s">
        <v>134</v>
      </c>
      <c r="K561" s="32">
        <v>4400</v>
      </c>
      <c r="L561" s="32">
        <v>4400</v>
      </c>
      <c r="M561" s="108">
        <v>0</v>
      </c>
      <c r="N561" s="32"/>
      <c r="O561" s="32"/>
      <c r="P561" s="32"/>
    </row>
    <row r="562" spans="1:16" s="12" customFormat="1">
      <c r="A562" s="57">
        <v>304</v>
      </c>
      <c r="B562" s="37">
        <v>45205</v>
      </c>
      <c r="C562" s="28">
        <v>45208</v>
      </c>
      <c r="D562" s="29" t="s">
        <v>1936</v>
      </c>
      <c r="E562" s="35">
        <v>21991253148</v>
      </c>
      <c r="F562" s="31" t="s">
        <v>10</v>
      </c>
      <c r="G562" s="31" t="s">
        <v>1390</v>
      </c>
      <c r="H562" s="77" t="s">
        <v>2221</v>
      </c>
      <c r="I562" s="31">
        <f>VLOOKUP(H562,PACOTES!B:E,4,FALSE)</f>
        <v>5</v>
      </c>
      <c r="J562" s="77" t="s">
        <v>134</v>
      </c>
      <c r="K562" s="32">
        <v>3700</v>
      </c>
      <c r="L562" s="32">
        <v>3700</v>
      </c>
      <c r="M562" s="108">
        <v>0</v>
      </c>
      <c r="N562" s="32"/>
      <c r="O562" s="32"/>
      <c r="P562" s="32"/>
    </row>
    <row r="563" spans="1:16">
      <c r="A563" s="57">
        <v>50</v>
      </c>
      <c r="B563" s="37">
        <v>45216</v>
      </c>
      <c r="C563" s="37">
        <v>45237</v>
      </c>
      <c r="D563" s="29" t="s">
        <v>1389</v>
      </c>
      <c r="E563" s="35">
        <v>21964951155</v>
      </c>
      <c r="F563" s="31" t="s">
        <v>10</v>
      </c>
      <c r="G563" s="31" t="s">
        <v>1390</v>
      </c>
      <c r="H563" s="77" t="s">
        <v>2221</v>
      </c>
      <c r="I563" s="31">
        <f>VLOOKUP(H563,PACOTES!B:E,4,FALSE)</f>
        <v>5</v>
      </c>
      <c r="J563" s="77" t="s">
        <v>134</v>
      </c>
      <c r="K563" s="32">
        <v>3900</v>
      </c>
      <c r="L563" s="32">
        <v>3900</v>
      </c>
      <c r="M563" s="108">
        <v>0</v>
      </c>
      <c r="N563" s="32"/>
      <c r="O563" s="32"/>
      <c r="P563" s="32"/>
    </row>
    <row r="564" spans="1:16" s="3" customFormat="1">
      <c r="A564" s="57">
        <v>511</v>
      </c>
      <c r="B564" s="37">
        <v>45216</v>
      </c>
      <c r="C564" s="28">
        <v>45208</v>
      </c>
      <c r="D564" s="29" t="s">
        <v>1441</v>
      </c>
      <c r="E564" s="35">
        <v>45999355669</v>
      </c>
      <c r="F564" s="31" t="s">
        <v>10</v>
      </c>
      <c r="G564" s="31" t="s">
        <v>1442</v>
      </c>
      <c r="H564" s="77" t="s">
        <v>2222</v>
      </c>
      <c r="I564" s="31">
        <f>VLOOKUP(H564,PACOTES!B:E,4,FALSE)</f>
        <v>4</v>
      </c>
      <c r="J564" s="77" t="s">
        <v>134</v>
      </c>
      <c r="K564" s="32">
        <v>3700</v>
      </c>
      <c r="L564" s="32">
        <v>3700</v>
      </c>
      <c r="M564" s="108">
        <v>0</v>
      </c>
      <c r="N564" s="32"/>
      <c r="O564" s="32"/>
      <c r="P564" s="32"/>
    </row>
    <row r="565" spans="1:16">
      <c r="A565" s="57">
        <v>64</v>
      </c>
      <c r="B565" s="37">
        <v>45216</v>
      </c>
      <c r="C565" s="28">
        <v>45217</v>
      </c>
      <c r="D565" s="29" t="s">
        <v>1443</v>
      </c>
      <c r="E565" s="35">
        <v>21965909919</v>
      </c>
      <c r="F565" s="31" t="s">
        <v>10</v>
      </c>
      <c r="G565" s="31" t="s">
        <v>1444</v>
      </c>
      <c r="H565" s="77" t="s">
        <v>2221</v>
      </c>
      <c r="I565" s="31">
        <f>VLOOKUP(H565,PACOTES!B:E,4,FALSE)</f>
        <v>5</v>
      </c>
      <c r="J565" s="77" t="s">
        <v>134</v>
      </c>
      <c r="K565" s="32">
        <v>3700</v>
      </c>
      <c r="L565" s="32">
        <v>3700</v>
      </c>
      <c r="M565" s="108">
        <v>0</v>
      </c>
      <c r="N565" s="32"/>
      <c r="O565" s="32"/>
      <c r="P565" s="32"/>
    </row>
    <row r="566" spans="1:16">
      <c r="A566" s="60">
        <v>303</v>
      </c>
      <c r="B566" s="47">
        <v>45216</v>
      </c>
      <c r="C566" s="47">
        <v>45237</v>
      </c>
      <c r="D566" s="29" t="s">
        <v>1934</v>
      </c>
      <c r="E566" s="35">
        <v>21991216434</v>
      </c>
      <c r="F566" s="31" t="s">
        <v>10</v>
      </c>
      <c r="G566" s="31" t="s">
        <v>1390</v>
      </c>
      <c r="H566" s="77" t="s">
        <v>2226</v>
      </c>
      <c r="I566" s="31">
        <f>VLOOKUP(H566,PACOTES!B:E,4,FALSE)</f>
        <v>0</v>
      </c>
      <c r="J566" s="77" t="s">
        <v>134</v>
      </c>
      <c r="K566" s="32">
        <v>3900</v>
      </c>
      <c r="L566" s="32">
        <v>3900</v>
      </c>
      <c r="M566" s="108">
        <v>0</v>
      </c>
      <c r="N566" s="104" t="s">
        <v>2249</v>
      </c>
      <c r="O566" s="104" t="s">
        <v>135</v>
      </c>
      <c r="P566" s="104" t="s">
        <v>135</v>
      </c>
    </row>
    <row r="567" spans="1:16">
      <c r="A567" s="57">
        <v>434</v>
      </c>
      <c r="B567" s="37">
        <v>45216</v>
      </c>
      <c r="C567" s="28">
        <v>45208</v>
      </c>
      <c r="D567" s="29" t="s">
        <v>1813</v>
      </c>
      <c r="E567" s="35">
        <v>24981434365</v>
      </c>
      <c r="F567" s="31" t="s">
        <v>10</v>
      </c>
      <c r="G567" s="31" t="s">
        <v>1444</v>
      </c>
      <c r="H567" s="77" t="s">
        <v>2222</v>
      </c>
      <c r="I567" s="31">
        <f>VLOOKUP(H567,PACOTES!B:E,4,FALSE)</f>
        <v>4</v>
      </c>
      <c r="J567" s="77" t="s">
        <v>134</v>
      </c>
      <c r="K567" s="32">
        <v>3900</v>
      </c>
      <c r="L567" s="32">
        <v>3900</v>
      </c>
      <c r="M567" s="108">
        <v>0</v>
      </c>
      <c r="N567" s="32"/>
      <c r="O567" s="32"/>
      <c r="P567" s="32"/>
    </row>
    <row r="568" spans="1:16" s="4" customFormat="1">
      <c r="A568" s="57">
        <v>431</v>
      </c>
      <c r="B568" s="37">
        <v>45217</v>
      </c>
      <c r="C568" s="28">
        <v>45217</v>
      </c>
      <c r="D568" s="29" t="s">
        <v>2108</v>
      </c>
      <c r="E568" s="35">
        <v>22999883566</v>
      </c>
      <c r="F568" s="31" t="s">
        <v>10</v>
      </c>
      <c r="G568" s="31" t="s">
        <v>2109</v>
      </c>
      <c r="H568" s="77" t="s">
        <v>2221</v>
      </c>
      <c r="I568" s="31">
        <f>VLOOKUP(H568,PACOTES!B:E,4,FALSE)</f>
        <v>5</v>
      </c>
      <c r="J568" s="77" t="s">
        <v>134</v>
      </c>
      <c r="K568" s="32">
        <v>4400</v>
      </c>
      <c r="L568" s="32">
        <v>4400</v>
      </c>
      <c r="M568" s="108">
        <v>0</v>
      </c>
      <c r="N568" s="32"/>
      <c r="O568" s="32"/>
      <c r="P568" s="32"/>
    </row>
    <row r="569" spans="1:16" s="17" customFormat="1">
      <c r="A569" s="57">
        <v>67</v>
      </c>
      <c r="B569" s="37">
        <v>45222</v>
      </c>
      <c r="C569" s="28">
        <v>45222</v>
      </c>
      <c r="D569" s="29" t="s">
        <v>1456</v>
      </c>
      <c r="E569" s="35">
        <v>21966351370</v>
      </c>
      <c r="F569" s="31" t="s">
        <v>10</v>
      </c>
      <c r="G569" s="31" t="s">
        <v>1457</v>
      </c>
      <c r="H569" s="77" t="s">
        <v>2221</v>
      </c>
      <c r="I569" s="31">
        <f>VLOOKUP(H569,PACOTES!B:E,4,FALSE)</f>
        <v>5</v>
      </c>
      <c r="J569" s="77" t="s">
        <v>134</v>
      </c>
      <c r="K569" s="32">
        <v>4400</v>
      </c>
      <c r="L569" s="32">
        <v>4400</v>
      </c>
      <c r="M569" s="108">
        <v>0</v>
      </c>
      <c r="N569" s="32"/>
      <c r="O569" s="32"/>
      <c r="P569" s="32"/>
    </row>
    <row r="570" spans="1:16" s="17" customFormat="1">
      <c r="A570" s="57">
        <v>212</v>
      </c>
      <c r="B570" s="37">
        <v>45223</v>
      </c>
      <c r="C570" s="28">
        <v>45223</v>
      </c>
      <c r="D570" s="29" t="s">
        <v>1768</v>
      </c>
      <c r="E570" s="35">
        <v>21981693649</v>
      </c>
      <c r="F570" s="31" t="s">
        <v>11</v>
      </c>
      <c r="G570" s="31" t="s">
        <v>1769</v>
      </c>
      <c r="H570" s="77" t="s">
        <v>2221</v>
      </c>
      <c r="I570" s="31">
        <f>VLOOKUP(H570,PACOTES!B:E,4,FALSE)</f>
        <v>5</v>
      </c>
      <c r="J570" s="77" t="s">
        <v>134</v>
      </c>
      <c r="K570" s="32">
        <v>2700</v>
      </c>
      <c r="L570" s="32">
        <v>2700</v>
      </c>
      <c r="M570" s="108">
        <v>0</v>
      </c>
      <c r="N570" s="32"/>
      <c r="O570" s="32"/>
      <c r="P570" s="32"/>
    </row>
    <row r="571" spans="1:16" s="16" customFormat="1">
      <c r="A571" s="57">
        <v>468</v>
      </c>
      <c r="B571" s="37">
        <v>45230</v>
      </c>
      <c r="C571" s="28">
        <v>45237</v>
      </c>
      <c r="D571" s="29" t="s">
        <v>1258</v>
      </c>
      <c r="E571" s="35">
        <v>11995177714</v>
      </c>
      <c r="F571" s="31" t="s">
        <v>10</v>
      </c>
      <c r="G571" s="31" t="s">
        <v>1260</v>
      </c>
      <c r="H571" s="77" t="s">
        <v>2221</v>
      </c>
      <c r="I571" s="31">
        <f>VLOOKUP(H571,PACOTES!B:E,4,FALSE)</f>
        <v>5</v>
      </c>
      <c r="J571" s="77" t="s">
        <v>134</v>
      </c>
      <c r="K571" s="32">
        <v>4500</v>
      </c>
      <c r="L571" s="32">
        <v>4500</v>
      </c>
      <c r="M571" s="108">
        <v>0</v>
      </c>
      <c r="N571" s="32"/>
      <c r="O571" s="32"/>
      <c r="P571" s="32"/>
    </row>
    <row r="572" spans="1:16" s="4" customFormat="1">
      <c r="A572" s="60">
        <v>75</v>
      </c>
      <c r="B572" s="47">
        <v>45233</v>
      </c>
      <c r="C572" s="47">
        <v>45254</v>
      </c>
      <c r="D572" s="29" t="s">
        <v>1485</v>
      </c>
      <c r="E572" s="35">
        <v>21967808805</v>
      </c>
      <c r="F572" s="31" t="s">
        <v>10</v>
      </c>
      <c r="G572" s="31" t="s">
        <v>1486</v>
      </c>
      <c r="H572" s="77" t="s">
        <v>2221</v>
      </c>
      <c r="I572" s="31">
        <f>VLOOKUP(H572,PACOTES!B:E,4,FALSE)</f>
        <v>5</v>
      </c>
      <c r="J572" s="77" t="s">
        <v>419</v>
      </c>
      <c r="K572" s="32">
        <v>3600</v>
      </c>
      <c r="L572" s="32">
        <v>3600</v>
      </c>
      <c r="M572" s="108">
        <v>0</v>
      </c>
      <c r="N572" s="32"/>
      <c r="O572" s="32"/>
      <c r="P572" s="32"/>
    </row>
    <row r="573" spans="1:16" s="4" customFormat="1">
      <c r="A573" s="60">
        <v>103</v>
      </c>
      <c r="B573" s="47">
        <v>45233</v>
      </c>
      <c r="C573" s="47">
        <v>45254</v>
      </c>
      <c r="D573" s="29" t="s">
        <v>1583</v>
      </c>
      <c r="E573" s="35">
        <v>21970093075</v>
      </c>
      <c r="F573" s="31" t="s">
        <v>10</v>
      </c>
      <c r="G573" s="31" t="s">
        <v>1584</v>
      </c>
      <c r="H573" s="77" t="s">
        <v>2221</v>
      </c>
      <c r="I573" s="31">
        <f>VLOOKUP(H573,PACOTES!B:E,4,FALSE)</f>
        <v>5</v>
      </c>
      <c r="J573" s="77" t="s">
        <v>134</v>
      </c>
      <c r="K573" s="32">
        <v>3700</v>
      </c>
      <c r="L573" s="32">
        <v>3700</v>
      </c>
      <c r="M573" s="108">
        <v>0</v>
      </c>
      <c r="N573" s="32"/>
      <c r="O573" s="32"/>
      <c r="P573" s="32"/>
    </row>
    <row r="574" spans="1:16" s="4" customFormat="1">
      <c r="A574" s="60">
        <v>423</v>
      </c>
      <c r="B574" s="47">
        <v>45233</v>
      </c>
      <c r="C574" s="47">
        <v>45254</v>
      </c>
      <c r="D574" s="29" t="s">
        <v>2098</v>
      </c>
      <c r="E574" s="35">
        <v>22998357094</v>
      </c>
      <c r="F574" s="31" t="s">
        <v>10</v>
      </c>
      <c r="G574" s="31" t="s">
        <v>1720</v>
      </c>
      <c r="H574" s="77" t="s">
        <v>2221</v>
      </c>
      <c r="I574" s="31">
        <f>VLOOKUP(H574,PACOTES!B:E,4,FALSE)</f>
        <v>5</v>
      </c>
      <c r="J574" s="77" t="s">
        <v>134</v>
      </c>
      <c r="K574" s="32">
        <v>3700</v>
      </c>
      <c r="L574" s="32">
        <v>3700</v>
      </c>
      <c r="M574" s="108">
        <v>0</v>
      </c>
      <c r="N574" s="32"/>
      <c r="O574" s="32"/>
      <c r="P574" s="32"/>
    </row>
    <row r="575" spans="1:16" s="4" customFormat="1">
      <c r="A575" s="60">
        <v>222</v>
      </c>
      <c r="B575" s="47">
        <v>45234</v>
      </c>
      <c r="C575" s="47">
        <v>45255</v>
      </c>
      <c r="D575" s="29" t="s">
        <v>1788</v>
      </c>
      <c r="E575" s="35">
        <v>21982269649</v>
      </c>
      <c r="F575" s="31" t="s">
        <v>10</v>
      </c>
      <c r="G575" s="31" t="s">
        <v>1789</v>
      </c>
      <c r="H575" s="77" t="s">
        <v>2221</v>
      </c>
      <c r="I575" s="31">
        <f>VLOOKUP(H575,PACOTES!B:E,4,FALSE)</f>
        <v>5</v>
      </c>
      <c r="J575" s="77" t="s">
        <v>134</v>
      </c>
      <c r="K575" s="32">
        <v>4400</v>
      </c>
      <c r="L575" s="32">
        <v>4400</v>
      </c>
      <c r="M575" s="108">
        <v>0</v>
      </c>
      <c r="N575" s="32"/>
      <c r="O575" s="32"/>
      <c r="P575" s="32"/>
    </row>
    <row r="576" spans="1:16" s="4" customFormat="1">
      <c r="A576" s="57">
        <v>549</v>
      </c>
      <c r="B576" s="37">
        <v>45236</v>
      </c>
      <c r="C576" s="37">
        <v>45237</v>
      </c>
      <c r="D576" s="29" t="s">
        <v>13</v>
      </c>
      <c r="E576" s="35">
        <v>83991263325</v>
      </c>
      <c r="F576" s="31" t="s">
        <v>11</v>
      </c>
      <c r="G576" s="31" t="s">
        <v>1571</v>
      </c>
      <c r="H576" s="77" t="s">
        <v>2221</v>
      </c>
      <c r="I576" s="31">
        <f>VLOOKUP(H576,PACOTES!B:E,4,FALSE)</f>
        <v>5</v>
      </c>
      <c r="J576" s="77" t="s">
        <v>134</v>
      </c>
      <c r="K576" s="32">
        <v>2900</v>
      </c>
      <c r="L576" s="32">
        <v>2900</v>
      </c>
      <c r="M576" s="108">
        <v>0</v>
      </c>
      <c r="N576" s="32"/>
      <c r="O576" s="32"/>
      <c r="P576" s="32"/>
    </row>
    <row r="577" spans="1:16" s="16" customFormat="1">
      <c r="A577" s="60">
        <v>138</v>
      </c>
      <c r="B577" s="47">
        <v>45236</v>
      </c>
      <c r="C577" s="47">
        <v>45256</v>
      </c>
      <c r="D577" s="29" t="s">
        <v>1652</v>
      </c>
      <c r="E577" s="35">
        <v>21973192045</v>
      </c>
      <c r="F577" s="31" t="s">
        <v>10</v>
      </c>
      <c r="G577" s="31" t="s">
        <v>1653</v>
      </c>
      <c r="H577" s="77" t="s">
        <v>2221</v>
      </c>
      <c r="I577" s="31">
        <f>VLOOKUP(H577,PACOTES!B:E,4,FALSE)</f>
        <v>5</v>
      </c>
      <c r="J577" s="77" t="s">
        <v>419</v>
      </c>
      <c r="K577" s="32">
        <v>3400</v>
      </c>
      <c r="L577" s="32">
        <v>3400</v>
      </c>
      <c r="M577" s="108">
        <v>0</v>
      </c>
      <c r="N577" s="32"/>
      <c r="O577" s="32"/>
      <c r="P577" s="32"/>
    </row>
    <row r="578" spans="1:16" s="4" customFormat="1">
      <c r="A578" s="60">
        <v>138</v>
      </c>
      <c r="B578" s="47">
        <v>45236</v>
      </c>
      <c r="C578" s="47">
        <v>45256</v>
      </c>
      <c r="D578" s="29" t="s">
        <v>1652</v>
      </c>
      <c r="E578" s="35">
        <v>21973192045</v>
      </c>
      <c r="F578" s="31" t="s">
        <v>10</v>
      </c>
      <c r="G578" s="31" t="s">
        <v>1653</v>
      </c>
      <c r="H578" s="77" t="s">
        <v>2221</v>
      </c>
      <c r="I578" s="31">
        <f>VLOOKUP(H578,PACOTES!B:E,4,FALSE)</f>
        <v>5</v>
      </c>
      <c r="J578" s="77" t="s">
        <v>419</v>
      </c>
      <c r="K578" s="32">
        <v>3400</v>
      </c>
      <c r="L578" s="32">
        <v>3400</v>
      </c>
      <c r="M578" s="108">
        <v>0</v>
      </c>
      <c r="N578" s="32"/>
      <c r="O578" s="32"/>
      <c r="P578" s="32"/>
    </row>
    <row r="579" spans="1:16" s="4" customFormat="1">
      <c r="A579" s="60">
        <v>47</v>
      </c>
      <c r="B579" s="47">
        <v>45238</v>
      </c>
      <c r="C579" s="105">
        <v>45259</v>
      </c>
      <c r="D579" s="29" t="s">
        <v>1372</v>
      </c>
      <c r="E579" s="30">
        <v>21964500550</v>
      </c>
      <c r="F579" s="31" t="s">
        <v>10</v>
      </c>
      <c r="G579" s="31" t="s">
        <v>1377</v>
      </c>
      <c r="H579" s="77" t="s">
        <v>2226</v>
      </c>
      <c r="I579" s="31">
        <f>VLOOKUP(H579,PACOTES!B:E,4,FALSE)</f>
        <v>0</v>
      </c>
      <c r="J579" s="77" t="s">
        <v>134</v>
      </c>
      <c r="K579" s="32">
        <v>3800</v>
      </c>
      <c r="L579" s="32">
        <v>3800</v>
      </c>
      <c r="M579" s="108">
        <v>0</v>
      </c>
      <c r="N579" s="32"/>
      <c r="O579" s="32"/>
      <c r="P579" s="32"/>
    </row>
    <row r="580" spans="1:16" s="4" customFormat="1">
      <c r="A580" s="60">
        <v>407</v>
      </c>
      <c r="B580" s="47">
        <v>45238</v>
      </c>
      <c r="C580" s="47">
        <v>45259</v>
      </c>
      <c r="D580" s="29" t="s">
        <v>2079</v>
      </c>
      <c r="E580" s="35">
        <v>22988160039</v>
      </c>
      <c r="F580" s="31" t="s">
        <v>10</v>
      </c>
      <c r="G580" s="31" t="s">
        <v>2080</v>
      </c>
      <c r="H580" s="77" t="s">
        <v>2226</v>
      </c>
      <c r="I580" s="31">
        <f>VLOOKUP(H580,PACOTES!B:E,4,FALSE)</f>
        <v>0</v>
      </c>
      <c r="J580" s="77" t="s">
        <v>134</v>
      </c>
      <c r="K580" s="32">
        <v>3900</v>
      </c>
      <c r="L580" s="32">
        <v>3900</v>
      </c>
      <c r="M580" s="108">
        <v>0</v>
      </c>
      <c r="N580" s="104" t="s">
        <v>2255</v>
      </c>
      <c r="O580" s="104" t="s">
        <v>135</v>
      </c>
      <c r="P580" s="104" t="s">
        <v>135</v>
      </c>
    </row>
    <row r="581" spans="1:16" s="4" customFormat="1">
      <c r="A581" s="57">
        <v>280</v>
      </c>
      <c r="B581" s="37">
        <v>45240</v>
      </c>
      <c r="C581" s="28">
        <v>45260</v>
      </c>
      <c r="D581" s="29" t="s">
        <v>1898</v>
      </c>
      <c r="E581" s="35">
        <v>21987669321</v>
      </c>
      <c r="F581" s="31" t="s">
        <v>10</v>
      </c>
      <c r="G581" s="31" t="s">
        <v>1899</v>
      </c>
      <c r="H581" s="77" t="s">
        <v>2221</v>
      </c>
      <c r="I581" s="31">
        <f>VLOOKUP(H581,PACOTES!B:E,4,FALSE)</f>
        <v>5</v>
      </c>
      <c r="J581" s="77" t="s">
        <v>134</v>
      </c>
      <c r="K581" s="32">
        <v>3900</v>
      </c>
      <c r="L581" s="32">
        <v>3900</v>
      </c>
      <c r="M581" s="108">
        <v>0</v>
      </c>
      <c r="N581" s="32"/>
      <c r="O581" s="32"/>
      <c r="P581" s="32"/>
    </row>
    <row r="582" spans="1:16" s="4" customFormat="1">
      <c r="A582" s="60">
        <v>137</v>
      </c>
      <c r="B582" s="47">
        <v>45243</v>
      </c>
      <c r="C582" s="47">
        <v>45263</v>
      </c>
      <c r="D582" s="29" t="s">
        <v>1648</v>
      </c>
      <c r="E582" s="35">
        <v>21973083717</v>
      </c>
      <c r="F582" s="31" t="s">
        <v>10</v>
      </c>
      <c r="G582" s="31" t="s">
        <v>1649</v>
      </c>
      <c r="H582" s="77" t="s">
        <v>2221</v>
      </c>
      <c r="I582" s="31">
        <f>VLOOKUP(H582,PACOTES!B:E,4,FALSE)</f>
        <v>5</v>
      </c>
      <c r="J582" s="77" t="s">
        <v>134</v>
      </c>
      <c r="K582" s="32">
        <v>3790</v>
      </c>
      <c r="L582" s="32">
        <v>3790</v>
      </c>
      <c r="M582" s="108">
        <v>0</v>
      </c>
      <c r="N582" s="32"/>
      <c r="O582" s="32"/>
      <c r="P582" s="32"/>
    </row>
    <row r="583" spans="1:16" s="4" customFormat="1">
      <c r="A583" s="57">
        <v>69</v>
      </c>
      <c r="B583" s="37">
        <v>45247</v>
      </c>
      <c r="C583" s="37">
        <v>45267</v>
      </c>
      <c r="D583" s="29" t="s">
        <v>1464</v>
      </c>
      <c r="E583" s="35">
        <v>21966788108</v>
      </c>
      <c r="F583" s="31" t="s">
        <v>10</v>
      </c>
      <c r="G583" s="31" t="s">
        <v>1465</v>
      </c>
      <c r="H583" s="77" t="s">
        <v>2221</v>
      </c>
      <c r="I583" s="31">
        <f>VLOOKUP(H583,PACOTES!B:E,4,FALSE)</f>
        <v>5</v>
      </c>
      <c r="J583" s="77" t="s">
        <v>419</v>
      </c>
      <c r="K583" s="32">
        <v>3400</v>
      </c>
      <c r="L583" s="32">
        <v>3400</v>
      </c>
      <c r="M583" s="108">
        <v>0</v>
      </c>
      <c r="N583" s="32"/>
      <c r="O583" s="32"/>
      <c r="P583" s="32"/>
    </row>
    <row r="584" spans="1:16" s="4" customFormat="1">
      <c r="A584" s="60">
        <v>377</v>
      </c>
      <c r="B584" s="47">
        <v>45247</v>
      </c>
      <c r="C584" s="47">
        <v>45267</v>
      </c>
      <c r="D584" s="29" t="s">
        <v>1429</v>
      </c>
      <c r="E584" s="35">
        <v>21997254914</v>
      </c>
      <c r="F584" s="31" t="s">
        <v>10</v>
      </c>
      <c r="G584" s="31" t="s">
        <v>1371</v>
      </c>
      <c r="H584" s="77" t="s">
        <v>2221</v>
      </c>
      <c r="I584" s="31">
        <f>VLOOKUP(H584,PACOTES!B:E,4,FALSE)</f>
        <v>5</v>
      </c>
      <c r="J584" s="77" t="s">
        <v>134</v>
      </c>
      <c r="K584" s="32">
        <v>4400</v>
      </c>
      <c r="L584" s="32">
        <v>4400</v>
      </c>
      <c r="M584" s="108">
        <v>0</v>
      </c>
      <c r="N584" s="32"/>
      <c r="O584" s="32"/>
      <c r="P584" s="32"/>
    </row>
    <row r="585" spans="1:16" s="4" customFormat="1">
      <c r="A585" s="57">
        <v>183</v>
      </c>
      <c r="B585" s="37">
        <v>45248</v>
      </c>
      <c r="C585" s="28">
        <v>45280</v>
      </c>
      <c r="D585" s="29" t="s">
        <v>1723</v>
      </c>
      <c r="E585" s="30">
        <v>21979929010</v>
      </c>
      <c r="F585" s="31" t="s">
        <v>10</v>
      </c>
      <c r="G585" s="33" t="s">
        <v>1724</v>
      </c>
      <c r="H585" s="77" t="s">
        <v>2221</v>
      </c>
      <c r="I585" s="31">
        <f>VLOOKUP(H585,PACOTES!B:E,4,FALSE)</f>
        <v>5</v>
      </c>
      <c r="J585" s="77" t="s">
        <v>419</v>
      </c>
      <c r="K585" s="32">
        <v>3400</v>
      </c>
      <c r="L585" s="32">
        <v>3400</v>
      </c>
      <c r="M585" s="108">
        <v>0</v>
      </c>
      <c r="N585" s="32"/>
      <c r="O585" s="32"/>
      <c r="P585" s="32"/>
    </row>
    <row r="586" spans="1:16" s="16" customFormat="1">
      <c r="A586" s="57">
        <v>42</v>
      </c>
      <c r="B586" s="37">
        <v>45248</v>
      </c>
      <c r="C586" s="28">
        <v>45268</v>
      </c>
      <c r="D586" s="29" t="s">
        <v>1351</v>
      </c>
      <c r="E586" s="87" t="s">
        <v>133</v>
      </c>
      <c r="F586" s="31" t="s">
        <v>10</v>
      </c>
      <c r="G586" s="31" t="s">
        <v>2193</v>
      </c>
      <c r="H586" s="77" t="s">
        <v>2226</v>
      </c>
      <c r="I586" s="31">
        <f>VLOOKUP(H586,PACOTES!B:E,4,FALSE)</f>
        <v>0</v>
      </c>
      <c r="J586" s="77" t="s">
        <v>134</v>
      </c>
      <c r="K586" s="32">
        <v>4400</v>
      </c>
      <c r="L586" s="32">
        <v>4400</v>
      </c>
      <c r="M586" s="108">
        <v>0</v>
      </c>
      <c r="N586" s="104" t="s">
        <v>2239</v>
      </c>
      <c r="O586" s="104" t="s">
        <v>135</v>
      </c>
      <c r="P586" s="104" t="s">
        <v>135</v>
      </c>
    </row>
    <row r="587" spans="1:16" s="4" customFormat="1">
      <c r="A587" s="57">
        <v>12</v>
      </c>
      <c r="B587" s="37">
        <v>45252</v>
      </c>
      <c r="C587" s="28">
        <v>45252</v>
      </c>
      <c r="D587" s="29" t="s">
        <v>1225</v>
      </c>
      <c r="E587" s="35">
        <v>21964123969</v>
      </c>
      <c r="F587" s="31" t="s">
        <v>11</v>
      </c>
      <c r="G587" s="31" t="s">
        <v>1226</v>
      </c>
      <c r="H587" s="77" t="s">
        <v>2221</v>
      </c>
      <c r="I587" s="31">
        <f>VLOOKUP(H587,PACOTES!B:E,4,FALSE)</f>
        <v>5</v>
      </c>
      <c r="J587" s="77" t="s">
        <v>419</v>
      </c>
      <c r="K587" s="32">
        <v>2400</v>
      </c>
      <c r="L587" s="32">
        <v>2400</v>
      </c>
      <c r="M587" s="108">
        <v>0</v>
      </c>
      <c r="N587" s="32"/>
      <c r="O587" s="32"/>
      <c r="P587" s="32"/>
    </row>
    <row r="588" spans="1:16" s="4" customFormat="1">
      <c r="A588" s="57">
        <v>461</v>
      </c>
      <c r="B588" s="37">
        <v>45253</v>
      </c>
      <c r="C588" s="28">
        <v>45257</v>
      </c>
      <c r="D588" s="29" t="s">
        <v>1227</v>
      </c>
      <c r="E588" s="35">
        <v>11973741020</v>
      </c>
      <c r="F588" s="31" t="s">
        <v>11</v>
      </c>
      <c r="G588" s="31" t="s">
        <v>1228</v>
      </c>
      <c r="H588" s="77" t="s">
        <v>2221</v>
      </c>
      <c r="I588" s="31">
        <f>VLOOKUP(H588,PACOTES!B:E,4,FALSE)</f>
        <v>5</v>
      </c>
      <c r="J588" s="77" t="s">
        <v>134</v>
      </c>
      <c r="K588" s="32">
        <v>2700</v>
      </c>
      <c r="L588" s="32">
        <v>2700</v>
      </c>
      <c r="M588" s="108">
        <v>0</v>
      </c>
      <c r="N588" s="32"/>
      <c r="O588" s="32"/>
      <c r="P588" s="32"/>
    </row>
    <row r="589" spans="1:16" s="4" customFormat="1">
      <c r="A589" s="57">
        <v>416</v>
      </c>
      <c r="B589" s="37">
        <v>45253</v>
      </c>
      <c r="C589" s="28">
        <v>45268</v>
      </c>
      <c r="D589" s="29" t="s">
        <v>2091</v>
      </c>
      <c r="E589" s="35">
        <v>22992419355</v>
      </c>
      <c r="F589" s="31" t="s">
        <v>10</v>
      </c>
      <c r="G589" s="33" t="s">
        <v>1371</v>
      </c>
      <c r="H589" s="77" t="s">
        <v>2221</v>
      </c>
      <c r="I589" s="31">
        <f>VLOOKUP(H589,PACOTES!B:E,4,FALSE)</f>
        <v>5</v>
      </c>
      <c r="J589" s="77" t="s">
        <v>134</v>
      </c>
      <c r="K589" s="32">
        <v>4400</v>
      </c>
      <c r="L589" s="32">
        <v>4400</v>
      </c>
      <c r="M589" s="108">
        <v>0</v>
      </c>
      <c r="N589" s="32"/>
      <c r="O589" s="32"/>
      <c r="P589" s="32"/>
    </row>
    <row r="590" spans="1:16" s="4" customFormat="1">
      <c r="A590" s="57">
        <v>289</v>
      </c>
      <c r="B590" s="37">
        <v>45254</v>
      </c>
      <c r="C590" s="28">
        <v>45280</v>
      </c>
      <c r="D590" s="29" t="s">
        <v>1913</v>
      </c>
      <c r="E590" s="35">
        <v>21988564642</v>
      </c>
      <c r="F590" s="31" t="s">
        <v>11</v>
      </c>
      <c r="G590" s="31" t="s">
        <v>1798</v>
      </c>
      <c r="H590" s="77" t="s">
        <v>2221</v>
      </c>
      <c r="I590" s="31">
        <f>VLOOKUP(H590,PACOTES!B:E,4,FALSE)</f>
        <v>5</v>
      </c>
      <c r="J590" s="77" t="s">
        <v>134</v>
      </c>
      <c r="K590" s="32">
        <v>2500</v>
      </c>
      <c r="L590" s="32">
        <v>2500</v>
      </c>
      <c r="M590" s="108">
        <v>0</v>
      </c>
      <c r="N590" s="32"/>
      <c r="O590" s="32"/>
      <c r="P590" s="32"/>
    </row>
    <row r="591" spans="1:16" s="4" customFormat="1">
      <c r="A591" s="57">
        <v>62</v>
      </c>
      <c r="B591" s="37">
        <v>45255</v>
      </c>
      <c r="C591" s="28">
        <v>45275</v>
      </c>
      <c r="D591" s="29" t="s">
        <v>1317</v>
      </c>
      <c r="E591" s="35">
        <v>21965813916</v>
      </c>
      <c r="F591" s="31" t="s">
        <v>10</v>
      </c>
      <c r="G591" s="31" t="s">
        <v>1371</v>
      </c>
      <c r="H591" s="77" t="s">
        <v>2221</v>
      </c>
      <c r="I591" s="31">
        <f>VLOOKUP(H591,PACOTES!B:E,4,FALSE)</f>
        <v>5</v>
      </c>
      <c r="J591" s="77" t="s">
        <v>134</v>
      </c>
      <c r="K591" s="32">
        <v>4400</v>
      </c>
      <c r="L591" s="32">
        <v>4400</v>
      </c>
      <c r="M591" s="108">
        <v>0</v>
      </c>
      <c r="N591" s="32"/>
      <c r="O591" s="32"/>
      <c r="P591" s="32"/>
    </row>
    <row r="592" spans="1:16" s="4" customFormat="1">
      <c r="A592" s="57">
        <v>110</v>
      </c>
      <c r="B592" s="37">
        <v>45255</v>
      </c>
      <c r="C592" s="28">
        <v>45279</v>
      </c>
      <c r="D592" s="29" t="s">
        <v>1605</v>
      </c>
      <c r="E592" s="35">
        <v>21970290419</v>
      </c>
      <c r="F592" s="31" t="s">
        <v>10</v>
      </c>
      <c r="G592" s="33" t="s">
        <v>1606</v>
      </c>
      <c r="H592" s="77" t="s">
        <v>2221</v>
      </c>
      <c r="I592" s="31">
        <f>VLOOKUP(H592,PACOTES!B:E,4,FALSE)</f>
        <v>5</v>
      </c>
      <c r="J592" s="77" t="s">
        <v>134</v>
      </c>
      <c r="K592" s="32">
        <v>4200</v>
      </c>
      <c r="L592" s="32">
        <v>4200</v>
      </c>
      <c r="M592" s="108">
        <v>0</v>
      </c>
      <c r="N592" s="32"/>
      <c r="O592" s="32"/>
      <c r="P592" s="32"/>
    </row>
    <row r="593" spans="1:16" s="4" customFormat="1">
      <c r="A593" s="57">
        <v>229</v>
      </c>
      <c r="B593" s="37">
        <v>45255</v>
      </c>
      <c r="C593" s="28">
        <v>45275</v>
      </c>
      <c r="D593" s="29" t="s">
        <v>1348</v>
      </c>
      <c r="E593" s="35">
        <v>21982708370</v>
      </c>
      <c r="F593" s="31" t="s">
        <v>10</v>
      </c>
      <c r="G593" s="31" t="s">
        <v>1800</v>
      </c>
      <c r="H593" s="31" t="s">
        <v>2226</v>
      </c>
      <c r="I593" s="31">
        <f>VLOOKUP(H593,PACOTES!B:E,4,FALSE)</f>
        <v>0</v>
      </c>
      <c r="J593" s="77" t="s">
        <v>134</v>
      </c>
      <c r="K593" s="32">
        <v>3900</v>
      </c>
      <c r="L593" s="32">
        <v>3900</v>
      </c>
      <c r="M593" s="108">
        <v>0</v>
      </c>
      <c r="N593" s="32"/>
      <c r="O593" s="32"/>
      <c r="P593" s="32"/>
    </row>
    <row r="594" spans="1:16" s="19" customFormat="1">
      <c r="A594" s="57">
        <v>5</v>
      </c>
      <c r="B594" s="37">
        <v>45258</v>
      </c>
      <c r="C594" s="28">
        <v>45259</v>
      </c>
      <c r="D594" s="29" t="s">
        <v>1199</v>
      </c>
      <c r="E594" s="35">
        <v>21964055276</v>
      </c>
      <c r="F594" s="31" t="s">
        <v>11</v>
      </c>
      <c r="G594" s="31" t="s">
        <v>1200</v>
      </c>
      <c r="H594" s="77" t="s">
        <v>2221</v>
      </c>
      <c r="I594" s="31">
        <f>VLOOKUP(H594,PACOTES!B:E,4,FALSE)</f>
        <v>5</v>
      </c>
      <c r="J594" s="77" t="s">
        <v>134</v>
      </c>
      <c r="K594" s="32">
        <v>2900</v>
      </c>
      <c r="L594" s="32">
        <v>2900</v>
      </c>
      <c r="M594" s="108">
        <v>0</v>
      </c>
      <c r="N594" s="32"/>
      <c r="O594" s="32"/>
      <c r="P594" s="32"/>
    </row>
    <row r="595" spans="1:16" s="4" customFormat="1">
      <c r="A595" s="57">
        <v>534</v>
      </c>
      <c r="B595" s="37">
        <v>45258</v>
      </c>
      <c r="C595" s="28">
        <v>45268</v>
      </c>
      <c r="D595" s="29" t="s">
        <v>1523</v>
      </c>
      <c r="E595" s="35">
        <v>65992599745</v>
      </c>
      <c r="F595" s="31" t="s">
        <v>11</v>
      </c>
      <c r="G595" s="31" t="s">
        <v>1314</v>
      </c>
      <c r="H595" s="77" t="s">
        <v>2221</v>
      </c>
      <c r="I595" s="31">
        <f>VLOOKUP(H595,PACOTES!B:E,4,FALSE)</f>
        <v>5</v>
      </c>
      <c r="J595" s="77" t="s">
        <v>134</v>
      </c>
      <c r="K595" s="32">
        <v>2620</v>
      </c>
      <c r="L595" s="32">
        <v>2620</v>
      </c>
      <c r="M595" s="108">
        <v>0</v>
      </c>
      <c r="N595" s="32"/>
      <c r="O595" s="32"/>
      <c r="P595" s="32"/>
    </row>
    <row r="596" spans="1:16" s="4" customFormat="1">
      <c r="A596" s="57">
        <v>55</v>
      </c>
      <c r="B596" s="37">
        <v>45261</v>
      </c>
      <c r="C596" s="28">
        <v>45280</v>
      </c>
      <c r="D596" s="29" t="s">
        <v>1417</v>
      </c>
      <c r="E596" s="35">
        <v>21965223908</v>
      </c>
      <c r="F596" s="31" t="s">
        <v>10</v>
      </c>
      <c r="G596" s="48" t="s">
        <v>1418</v>
      </c>
      <c r="H596" s="77" t="s">
        <v>2223</v>
      </c>
      <c r="I596" s="31">
        <f>VLOOKUP(H596,PACOTES!B:E,4,FALSE)</f>
        <v>3</v>
      </c>
      <c r="J596" s="77" t="s">
        <v>134</v>
      </c>
      <c r="K596" s="32">
        <v>3900</v>
      </c>
      <c r="L596" s="32">
        <v>3900</v>
      </c>
      <c r="M596" s="108">
        <v>0</v>
      </c>
      <c r="N596" s="32"/>
      <c r="O596" s="32"/>
      <c r="P596" s="32"/>
    </row>
    <row r="597" spans="1:16" s="18" customFormat="1">
      <c r="A597" s="57">
        <v>172</v>
      </c>
      <c r="B597" s="37">
        <v>45261</v>
      </c>
      <c r="C597" s="28">
        <v>45261</v>
      </c>
      <c r="D597" s="29" t="s">
        <v>1702</v>
      </c>
      <c r="E597" s="35">
        <v>21977402544</v>
      </c>
      <c r="F597" s="31" t="s">
        <v>10</v>
      </c>
      <c r="G597" s="31" t="s">
        <v>1371</v>
      </c>
      <c r="H597" s="77" t="s">
        <v>2221</v>
      </c>
      <c r="I597" s="31">
        <f>VLOOKUP(H597,PACOTES!B:E,4,FALSE)</f>
        <v>5</v>
      </c>
      <c r="J597" s="77" t="s">
        <v>134</v>
      </c>
      <c r="K597" s="32">
        <v>4400</v>
      </c>
      <c r="L597" s="32">
        <v>4400</v>
      </c>
      <c r="M597" s="108">
        <v>0</v>
      </c>
      <c r="N597" s="32"/>
      <c r="O597" s="32"/>
      <c r="P597" s="32"/>
    </row>
    <row r="598" spans="1:16" s="4" customFormat="1">
      <c r="A598" s="57">
        <v>492</v>
      </c>
      <c r="B598" s="37">
        <v>45262</v>
      </c>
      <c r="C598" s="28">
        <v>45264</v>
      </c>
      <c r="D598" s="29" t="s">
        <v>1364</v>
      </c>
      <c r="E598" s="29">
        <v>31993043887</v>
      </c>
      <c r="F598" s="31" t="s">
        <v>11</v>
      </c>
      <c r="G598" s="31" t="s">
        <v>1228</v>
      </c>
      <c r="H598" s="77" t="s">
        <v>2221</v>
      </c>
      <c r="I598" s="31">
        <f>VLOOKUP(H598,PACOTES!B:E,4,FALSE)</f>
        <v>5</v>
      </c>
      <c r="J598" s="77" t="s">
        <v>134</v>
      </c>
      <c r="K598" s="32">
        <v>2700</v>
      </c>
      <c r="L598" s="32">
        <v>2700</v>
      </c>
      <c r="M598" s="108">
        <v>0</v>
      </c>
      <c r="N598" s="32"/>
      <c r="O598" s="32"/>
      <c r="P598" s="32"/>
    </row>
    <row r="599" spans="1:16" s="4" customFormat="1">
      <c r="A599" s="57">
        <v>164</v>
      </c>
      <c r="B599" s="37">
        <v>45265</v>
      </c>
      <c r="C599" s="28">
        <v>45280</v>
      </c>
      <c r="D599" s="29" t="s">
        <v>1692</v>
      </c>
      <c r="E599" s="35">
        <v>21976055455</v>
      </c>
      <c r="F599" s="31" t="s">
        <v>10</v>
      </c>
      <c r="G599" s="33" t="s">
        <v>1502</v>
      </c>
      <c r="H599" s="77" t="s">
        <v>2221</v>
      </c>
      <c r="I599" s="31">
        <f>VLOOKUP(H599,PACOTES!B:E,4,FALSE)</f>
        <v>5</v>
      </c>
      <c r="J599" s="77" t="s">
        <v>134</v>
      </c>
      <c r="K599" s="32">
        <v>4200</v>
      </c>
      <c r="L599" s="32">
        <v>4200</v>
      </c>
      <c r="M599" s="108">
        <v>0</v>
      </c>
      <c r="N599" s="32"/>
      <c r="O599" s="32"/>
      <c r="P599" s="32"/>
    </row>
    <row r="600" spans="1:16" s="4" customFormat="1">
      <c r="A600" s="57">
        <v>310</v>
      </c>
      <c r="B600" s="37">
        <v>45265</v>
      </c>
      <c r="C600" s="28">
        <v>45268</v>
      </c>
      <c r="D600" s="29" t="s">
        <v>1727</v>
      </c>
      <c r="E600" s="35">
        <v>21991656018</v>
      </c>
      <c r="F600" s="31" t="s">
        <v>12</v>
      </c>
      <c r="G600" s="33" t="s">
        <v>1945</v>
      </c>
      <c r="H600" s="77" t="s">
        <v>2221</v>
      </c>
      <c r="I600" s="31">
        <f>VLOOKUP(H600,PACOTES!B:E,4,FALSE)</f>
        <v>5</v>
      </c>
      <c r="J600" s="77" t="s">
        <v>419</v>
      </c>
      <c r="K600" s="32">
        <v>2000</v>
      </c>
      <c r="L600" s="32">
        <v>2000</v>
      </c>
      <c r="M600" s="108">
        <v>0</v>
      </c>
      <c r="N600" s="32"/>
      <c r="O600" s="32"/>
      <c r="P600" s="32"/>
    </row>
    <row r="601" spans="1:16" s="4" customFormat="1">
      <c r="A601" s="57">
        <v>189</v>
      </c>
      <c r="B601" s="37">
        <v>45266</v>
      </c>
      <c r="C601" s="28">
        <v>45280</v>
      </c>
      <c r="D601" s="29" t="s">
        <v>1733</v>
      </c>
      <c r="E601" s="35">
        <v>21980565353</v>
      </c>
      <c r="F601" s="31" t="s">
        <v>10</v>
      </c>
      <c r="G601" s="48" t="s">
        <v>1502</v>
      </c>
      <c r="H601" s="77" t="s">
        <v>2221</v>
      </c>
      <c r="I601" s="31">
        <f>VLOOKUP(H601,PACOTES!B:E,4,FALSE)</f>
        <v>5</v>
      </c>
      <c r="J601" s="77" t="s">
        <v>134</v>
      </c>
      <c r="K601" s="32">
        <v>4400</v>
      </c>
      <c r="L601" s="32">
        <v>4400</v>
      </c>
      <c r="M601" s="108">
        <v>0</v>
      </c>
      <c r="N601" s="32"/>
      <c r="O601" s="32"/>
      <c r="P601" s="32"/>
    </row>
    <row r="602" spans="1:16" s="4" customFormat="1">
      <c r="A602" s="57">
        <v>197</v>
      </c>
      <c r="B602" s="37">
        <v>45266</v>
      </c>
      <c r="C602" s="28">
        <v>45280</v>
      </c>
      <c r="D602" s="29" t="s">
        <v>1747</v>
      </c>
      <c r="E602" s="35">
        <v>21981113806</v>
      </c>
      <c r="F602" s="31" t="s">
        <v>10</v>
      </c>
      <c r="G602" s="48" t="s">
        <v>1748</v>
      </c>
      <c r="H602" s="77" t="s">
        <v>2221</v>
      </c>
      <c r="I602" s="31">
        <f>VLOOKUP(H602,PACOTES!B:E,4,FALSE)</f>
        <v>5</v>
      </c>
      <c r="J602" s="77" t="s">
        <v>134</v>
      </c>
      <c r="K602" s="32">
        <v>3900</v>
      </c>
      <c r="L602" s="32">
        <v>3900</v>
      </c>
      <c r="M602" s="108">
        <v>0</v>
      </c>
      <c r="N602" s="32"/>
      <c r="O602" s="32"/>
      <c r="P602" s="32"/>
    </row>
    <row r="603" spans="1:16" s="4" customFormat="1">
      <c r="A603" s="57">
        <v>377</v>
      </c>
      <c r="B603" s="37">
        <v>45266</v>
      </c>
      <c r="C603" s="28">
        <v>45280</v>
      </c>
      <c r="D603" s="29" t="s">
        <v>2046</v>
      </c>
      <c r="E603" s="35">
        <v>21997254914</v>
      </c>
      <c r="F603" s="31" t="s">
        <v>10</v>
      </c>
      <c r="G603" s="48" t="s">
        <v>1371</v>
      </c>
      <c r="H603" s="77" t="s">
        <v>2221</v>
      </c>
      <c r="I603" s="31">
        <f>VLOOKUP(H603,PACOTES!B:E,4,FALSE)</f>
        <v>5</v>
      </c>
      <c r="J603" s="77" t="s">
        <v>134</v>
      </c>
      <c r="K603" s="32">
        <v>4400</v>
      </c>
      <c r="L603" s="32">
        <v>4400</v>
      </c>
      <c r="M603" s="108">
        <v>0</v>
      </c>
      <c r="N603" s="32"/>
      <c r="O603" s="32"/>
      <c r="P603" s="32"/>
    </row>
    <row r="604" spans="1:16">
      <c r="A604" s="57">
        <v>245</v>
      </c>
      <c r="B604" s="37">
        <v>45266</v>
      </c>
      <c r="C604" s="28">
        <v>45280</v>
      </c>
      <c r="D604" s="29" t="s">
        <v>1831</v>
      </c>
      <c r="E604" s="30">
        <v>21983754247</v>
      </c>
      <c r="F604" s="31" t="s">
        <v>10</v>
      </c>
      <c r="G604" s="48" t="s">
        <v>1371</v>
      </c>
      <c r="H604" s="77" t="s">
        <v>2221</v>
      </c>
      <c r="I604" s="31">
        <f>VLOOKUP(H604,PACOTES!B:E,4,FALSE)</f>
        <v>5</v>
      </c>
      <c r="J604" s="77" t="s">
        <v>134</v>
      </c>
      <c r="K604" s="32">
        <v>4400</v>
      </c>
      <c r="L604" s="32">
        <v>4400</v>
      </c>
      <c r="M604" s="108">
        <v>0</v>
      </c>
      <c r="N604" s="32"/>
      <c r="O604" s="32"/>
      <c r="P604" s="32"/>
    </row>
    <row r="605" spans="1:16">
      <c r="A605" s="57">
        <v>128</v>
      </c>
      <c r="B605" s="37">
        <v>45268</v>
      </c>
      <c r="C605" s="28">
        <v>45269</v>
      </c>
      <c r="D605" s="29" t="s">
        <v>1514</v>
      </c>
      <c r="E605" s="29">
        <v>21972056631</v>
      </c>
      <c r="F605" s="31" t="s">
        <v>11</v>
      </c>
      <c r="G605" s="31" t="s">
        <v>1316</v>
      </c>
      <c r="H605" s="77" t="s">
        <v>2221</v>
      </c>
      <c r="I605" s="31">
        <f>VLOOKUP(H605,PACOTES!B:E,4,FALSE)</f>
        <v>5</v>
      </c>
      <c r="J605" s="77" t="s">
        <v>134</v>
      </c>
      <c r="K605" s="32">
        <v>2900</v>
      </c>
      <c r="L605" s="32">
        <v>2900</v>
      </c>
      <c r="M605" s="108">
        <v>0</v>
      </c>
      <c r="N605" s="32"/>
      <c r="O605" s="32"/>
      <c r="P605" s="32"/>
    </row>
    <row r="606" spans="1:16" s="4" customFormat="1">
      <c r="A606" s="57">
        <v>566</v>
      </c>
      <c r="B606" s="37">
        <v>45271</v>
      </c>
      <c r="C606" s="28">
        <v>45282</v>
      </c>
      <c r="D606" s="29" t="s">
        <v>1617</v>
      </c>
      <c r="E606" s="30">
        <v>21971895561</v>
      </c>
      <c r="F606" s="77" t="s">
        <v>9</v>
      </c>
      <c r="G606" s="33" t="s">
        <v>2233</v>
      </c>
      <c r="H606" s="77" t="s">
        <v>2225</v>
      </c>
      <c r="I606" s="31">
        <f>VLOOKUP(H606,PACOTES!B:E,4,FALSE)</f>
        <v>1</v>
      </c>
      <c r="J606" s="77" t="s">
        <v>134</v>
      </c>
      <c r="K606" s="32">
        <v>5380</v>
      </c>
      <c r="L606" s="32">
        <v>5380</v>
      </c>
      <c r="M606" s="108">
        <v>0</v>
      </c>
      <c r="N606" s="32"/>
      <c r="O606" s="32"/>
      <c r="P606" s="32"/>
    </row>
    <row r="607" spans="1:16" s="4" customFormat="1">
      <c r="A607" s="76" t="s">
        <v>2214</v>
      </c>
      <c r="B607" s="37">
        <v>45271</v>
      </c>
      <c r="C607" s="28">
        <v>45282</v>
      </c>
      <c r="D607" s="29" t="s">
        <v>1617</v>
      </c>
      <c r="E607" s="30" t="s">
        <v>13</v>
      </c>
      <c r="F607" s="31" t="s">
        <v>7</v>
      </c>
      <c r="G607" s="33" t="s">
        <v>2194</v>
      </c>
      <c r="H607" s="77" t="s">
        <v>2214</v>
      </c>
      <c r="I607" s="31"/>
      <c r="J607" s="77" t="s">
        <v>2214</v>
      </c>
      <c r="K607" s="32">
        <v>5460</v>
      </c>
      <c r="L607" s="32">
        <v>5460</v>
      </c>
      <c r="M607" s="108">
        <v>0</v>
      </c>
      <c r="N607" s="104" t="s">
        <v>2214</v>
      </c>
      <c r="O607" s="32"/>
      <c r="P607" s="32"/>
    </row>
    <row r="608" spans="1:16" s="4" customFormat="1">
      <c r="A608" s="57">
        <v>32</v>
      </c>
      <c r="B608" s="37">
        <v>45274</v>
      </c>
      <c r="C608" s="28">
        <v>45311</v>
      </c>
      <c r="D608" s="29" t="s">
        <v>1206</v>
      </c>
      <c r="E608" s="35">
        <v>21964417312</v>
      </c>
      <c r="F608" s="31" t="s">
        <v>10</v>
      </c>
      <c r="G608" s="39" t="s">
        <v>1310</v>
      </c>
      <c r="H608" s="77" t="s">
        <v>2221</v>
      </c>
      <c r="I608" s="31">
        <f>VLOOKUP(H608,PACOTES!B:E,4,FALSE)</f>
        <v>5</v>
      </c>
      <c r="J608" s="77" t="s">
        <v>134</v>
      </c>
      <c r="K608" s="32">
        <v>4200</v>
      </c>
      <c r="L608" s="32">
        <v>4200</v>
      </c>
      <c r="M608" s="108">
        <v>0</v>
      </c>
      <c r="N608" s="32"/>
      <c r="O608" s="32"/>
      <c r="P608" s="32"/>
    </row>
    <row r="609" spans="1:16" s="4" customFormat="1">
      <c r="A609" s="57">
        <v>122</v>
      </c>
      <c r="B609" s="37">
        <v>45274</v>
      </c>
      <c r="C609" s="28">
        <v>45288</v>
      </c>
      <c r="D609" s="29" t="s">
        <v>1626</v>
      </c>
      <c r="E609" s="35">
        <v>21971275536</v>
      </c>
      <c r="F609" s="31" t="s">
        <v>10</v>
      </c>
      <c r="G609" s="33" t="s">
        <v>1627</v>
      </c>
      <c r="H609" s="77" t="s">
        <v>2221</v>
      </c>
      <c r="I609" s="31">
        <f>VLOOKUP(H609,PACOTES!B:E,4,FALSE)</f>
        <v>5</v>
      </c>
      <c r="J609" s="77" t="s">
        <v>134</v>
      </c>
      <c r="K609" s="32">
        <v>4650</v>
      </c>
      <c r="L609" s="32">
        <v>4650</v>
      </c>
      <c r="M609" s="108">
        <v>0</v>
      </c>
      <c r="N609" s="32"/>
      <c r="O609" s="32"/>
      <c r="P609" s="32"/>
    </row>
    <row r="610" spans="1:16" s="4" customFormat="1">
      <c r="A610" s="57">
        <v>129</v>
      </c>
      <c r="B610" s="37">
        <v>45274</v>
      </c>
      <c r="C610" s="28">
        <v>45278</v>
      </c>
      <c r="D610" s="29" t="s">
        <v>1317</v>
      </c>
      <c r="E610" s="29">
        <v>21972112757</v>
      </c>
      <c r="F610" s="31" t="s">
        <v>11</v>
      </c>
      <c r="G610" s="31" t="s">
        <v>1316</v>
      </c>
      <c r="H610" s="77" t="s">
        <v>2221</v>
      </c>
      <c r="I610" s="31">
        <f>VLOOKUP(H610,PACOTES!B:E,4,FALSE)</f>
        <v>5</v>
      </c>
      <c r="J610" s="77" t="s">
        <v>134</v>
      </c>
      <c r="K610" s="32">
        <v>2900</v>
      </c>
      <c r="L610" s="32">
        <v>2900</v>
      </c>
      <c r="M610" s="108">
        <v>0</v>
      </c>
      <c r="N610" s="32"/>
      <c r="O610" s="32"/>
      <c r="P610" s="32"/>
    </row>
    <row r="611" spans="1:16" s="4" customFormat="1">
      <c r="A611" s="57">
        <v>362</v>
      </c>
      <c r="B611" s="37">
        <v>45278</v>
      </c>
      <c r="C611" s="28">
        <v>45280</v>
      </c>
      <c r="D611" s="29" t="s">
        <v>2024</v>
      </c>
      <c r="E611" s="29">
        <v>21996194946</v>
      </c>
      <c r="F611" s="31" t="s">
        <v>11</v>
      </c>
      <c r="G611" s="31" t="s">
        <v>1316</v>
      </c>
      <c r="H611" s="77" t="s">
        <v>2221</v>
      </c>
      <c r="I611" s="31">
        <f>VLOOKUP(H611,PACOTES!B:E,4,FALSE)</f>
        <v>5</v>
      </c>
      <c r="J611" s="77" t="s">
        <v>134</v>
      </c>
      <c r="K611" s="32">
        <v>2900</v>
      </c>
      <c r="L611" s="32">
        <v>2900</v>
      </c>
      <c r="M611" s="108">
        <v>0</v>
      </c>
      <c r="N611" s="32"/>
      <c r="O611" s="32"/>
      <c r="P611" s="32"/>
    </row>
    <row r="612" spans="1:16" s="4" customFormat="1">
      <c r="A612" s="61">
        <v>423</v>
      </c>
      <c r="B612" s="49">
        <v>45279</v>
      </c>
      <c r="C612" s="49">
        <v>45311</v>
      </c>
      <c r="D612" s="50" t="s">
        <v>2098</v>
      </c>
      <c r="E612" s="51">
        <v>22998357094</v>
      </c>
      <c r="F612" s="33" t="s">
        <v>10</v>
      </c>
      <c r="G612" s="33" t="s">
        <v>1720</v>
      </c>
      <c r="H612" s="77" t="s">
        <v>2221</v>
      </c>
      <c r="I612" s="31">
        <f>VLOOKUP(H612,PACOTES!B:E,4,FALSE)</f>
        <v>5</v>
      </c>
      <c r="J612" s="77" t="s">
        <v>134</v>
      </c>
      <c r="K612" s="52">
        <v>3900</v>
      </c>
      <c r="L612" s="52">
        <v>3900</v>
      </c>
      <c r="M612" s="108">
        <v>0</v>
      </c>
      <c r="N612" s="52"/>
      <c r="O612" s="52"/>
      <c r="P612" s="52"/>
    </row>
    <row r="613" spans="1:16" s="2" customFormat="1">
      <c r="A613" s="60">
        <v>109</v>
      </c>
      <c r="B613" s="47">
        <v>45280</v>
      </c>
      <c r="C613" s="47">
        <v>45311</v>
      </c>
      <c r="D613" s="29" t="s">
        <v>1600</v>
      </c>
      <c r="E613" s="35">
        <v>21970285042</v>
      </c>
      <c r="F613" s="31" t="s">
        <v>9</v>
      </c>
      <c r="G613" s="31" t="s">
        <v>1339</v>
      </c>
      <c r="H613" s="77" t="s">
        <v>2224</v>
      </c>
      <c r="I613" s="31">
        <f>VLOOKUP(H613,PACOTES!B:E,4,FALSE)</f>
        <v>2</v>
      </c>
      <c r="J613" s="77" t="s">
        <v>134</v>
      </c>
      <c r="K613" s="32">
        <v>5200</v>
      </c>
      <c r="L613" s="32">
        <v>5200</v>
      </c>
      <c r="M613" s="108">
        <v>0</v>
      </c>
      <c r="N613" s="32"/>
      <c r="O613" s="32"/>
      <c r="P613" s="32"/>
    </row>
    <row r="614" spans="1:16" s="4" customFormat="1">
      <c r="A614" s="57">
        <v>420</v>
      </c>
      <c r="B614" s="37">
        <v>45280</v>
      </c>
      <c r="C614" s="28">
        <v>45281</v>
      </c>
      <c r="D614" s="29" t="s">
        <v>2095</v>
      </c>
      <c r="E614" s="29">
        <v>22997053926</v>
      </c>
      <c r="F614" s="31" t="s">
        <v>11</v>
      </c>
      <c r="G614" s="31" t="s">
        <v>1316</v>
      </c>
      <c r="H614" s="77" t="s">
        <v>2221</v>
      </c>
      <c r="I614" s="31">
        <f>VLOOKUP(H614,PACOTES!B:E,4,FALSE)</f>
        <v>5</v>
      </c>
      <c r="J614" s="77" t="s">
        <v>134</v>
      </c>
      <c r="K614" s="32">
        <v>2900</v>
      </c>
      <c r="L614" s="32">
        <v>2900</v>
      </c>
      <c r="M614" s="108">
        <v>0</v>
      </c>
      <c r="N614" s="32"/>
      <c r="O614" s="32"/>
      <c r="P614" s="32"/>
    </row>
    <row r="615" spans="1:16" s="4" customFormat="1">
      <c r="A615" s="57">
        <v>46</v>
      </c>
      <c r="B615" s="37">
        <v>45281</v>
      </c>
      <c r="C615" s="28">
        <v>45287</v>
      </c>
      <c r="D615" s="29" t="s">
        <v>1370</v>
      </c>
      <c r="E615" s="35">
        <v>21964818198</v>
      </c>
      <c r="F615" s="31" t="s">
        <v>10</v>
      </c>
      <c r="G615" s="33" t="s">
        <v>1371</v>
      </c>
      <c r="H615" s="77" t="s">
        <v>2221</v>
      </c>
      <c r="I615" s="31">
        <f>VLOOKUP(H615,PACOTES!B:E,4,FALSE)</f>
        <v>5</v>
      </c>
      <c r="J615" s="77" t="s">
        <v>134</v>
      </c>
      <c r="K615" s="32">
        <v>4400</v>
      </c>
      <c r="L615" s="32">
        <v>4400</v>
      </c>
      <c r="M615" s="108">
        <v>0</v>
      </c>
      <c r="N615" s="32"/>
      <c r="O615" s="32"/>
      <c r="P615" s="32"/>
    </row>
    <row r="616" spans="1:16" s="4" customFormat="1">
      <c r="A616" s="57">
        <v>74</v>
      </c>
      <c r="B616" s="37">
        <v>45286</v>
      </c>
      <c r="C616" s="28">
        <v>45289</v>
      </c>
      <c r="D616" s="29" t="s">
        <v>1483</v>
      </c>
      <c r="E616" s="29">
        <v>21967622227</v>
      </c>
      <c r="F616" s="31" t="s">
        <v>11</v>
      </c>
      <c r="G616" s="31" t="s">
        <v>1316</v>
      </c>
      <c r="H616" s="77" t="s">
        <v>2221</v>
      </c>
      <c r="I616" s="31">
        <f>VLOOKUP(H616,PACOTES!B:E,4,FALSE)</f>
        <v>5</v>
      </c>
      <c r="J616" s="77" t="s">
        <v>134</v>
      </c>
      <c r="K616" s="32">
        <v>2800</v>
      </c>
      <c r="L616" s="32">
        <v>2800</v>
      </c>
      <c r="M616" s="108">
        <v>0</v>
      </c>
      <c r="N616" s="32"/>
      <c r="O616" s="32"/>
      <c r="P616" s="32"/>
    </row>
    <row r="617" spans="1:16" s="4" customFormat="1">
      <c r="A617" s="57">
        <v>232</v>
      </c>
      <c r="B617" s="37">
        <v>45286</v>
      </c>
      <c r="C617" s="37">
        <v>45289</v>
      </c>
      <c r="D617" s="29" t="s">
        <v>1804</v>
      </c>
      <c r="E617" s="29">
        <v>21982775220</v>
      </c>
      <c r="F617" s="31" t="s">
        <v>11</v>
      </c>
      <c r="G617" s="31" t="s">
        <v>1805</v>
      </c>
      <c r="H617" s="77" t="s">
        <v>2221</v>
      </c>
      <c r="I617" s="31">
        <f>VLOOKUP(H617,PACOTES!B:E,4,FALSE)</f>
        <v>5</v>
      </c>
      <c r="J617" s="77" t="s">
        <v>134</v>
      </c>
      <c r="K617" s="32">
        <v>2900</v>
      </c>
      <c r="L617" s="32">
        <v>2900</v>
      </c>
      <c r="M617" s="108">
        <v>0</v>
      </c>
      <c r="N617" s="32"/>
      <c r="O617" s="32"/>
      <c r="P617" s="32"/>
    </row>
    <row r="618" spans="1:16" s="4" customFormat="1">
      <c r="A618" s="57">
        <v>442</v>
      </c>
      <c r="B618" s="37">
        <v>45286</v>
      </c>
      <c r="C618" s="28">
        <v>45286</v>
      </c>
      <c r="D618" s="29" t="s">
        <v>1593</v>
      </c>
      <c r="E618" s="29">
        <v>24993280015</v>
      </c>
      <c r="F618" s="31" t="s">
        <v>11</v>
      </c>
      <c r="G618" s="31" t="s">
        <v>2123</v>
      </c>
      <c r="H618" s="77" t="s">
        <v>2221</v>
      </c>
      <c r="I618" s="31">
        <f>VLOOKUP(H618,PACOTES!B:E,4,FALSE)</f>
        <v>5</v>
      </c>
      <c r="J618" s="77" t="s">
        <v>134</v>
      </c>
      <c r="K618" s="32">
        <v>2900</v>
      </c>
      <c r="L618" s="32">
        <v>2900</v>
      </c>
      <c r="M618" s="108">
        <v>0</v>
      </c>
      <c r="N618" s="32"/>
      <c r="O618" s="32"/>
      <c r="P618" s="32"/>
    </row>
    <row r="619" spans="1:16" s="4" customFormat="1">
      <c r="A619" s="57">
        <v>563</v>
      </c>
      <c r="B619" s="37">
        <v>45286</v>
      </c>
      <c r="C619" s="28">
        <v>45286</v>
      </c>
      <c r="D619" s="29" t="s">
        <v>2195</v>
      </c>
      <c r="E619" s="30">
        <v>15996434549</v>
      </c>
      <c r="F619" s="31" t="s">
        <v>11</v>
      </c>
      <c r="G619" s="31" t="s">
        <v>2196</v>
      </c>
      <c r="H619" s="77" t="s">
        <v>2221</v>
      </c>
      <c r="I619" s="31">
        <f>VLOOKUP(H619,PACOTES!B:E,4,FALSE)</f>
        <v>5</v>
      </c>
      <c r="J619" s="77" t="s">
        <v>134</v>
      </c>
      <c r="K619" s="32">
        <v>2600</v>
      </c>
      <c r="L619" s="32">
        <v>2600</v>
      </c>
      <c r="M619" s="108">
        <v>0</v>
      </c>
      <c r="N619" s="32"/>
      <c r="O619" s="32"/>
      <c r="P619" s="32"/>
    </row>
    <row r="620" spans="1:16" s="4" customFormat="1">
      <c r="A620" s="57">
        <v>46</v>
      </c>
      <c r="B620" s="37">
        <v>45288</v>
      </c>
      <c r="C620" s="28">
        <v>45289</v>
      </c>
      <c r="D620" s="29" t="s">
        <v>1370</v>
      </c>
      <c r="E620" s="35">
        <v>21964818198</v>
      </c>
      <c r="F620" s="31" t="s">
        <v>10</v>
      </c>
      <c r="G620" s="33" t="s">
        <v>1371</v>
      </c>
      <c r="H620" s="77" t="s">
        <v>2221</v>
      </c>
      <c r="I620" s="31">
        <f>VLOOKUP(H620,PACOTES!B:E,4,FALSE)</f>
        <v>5</v>
      </c>
      <c r="J620" s="77" t="s">
        <v>134</v>
      </c>
      <c r="K620" s="32">
        <v>3900</v>
      </c>
      <c r="L620" s="32">
        <v>3900</v>
      </c>
      <c r="M620" s="108">
        <v>0</v>
      </c>
      <c r="N620" s="32"/>
      <c r="O620" s="32"/>
      <c r="P620" s="32"/>
    </row>
    <row r="621" spans="1:16" s="4" customFormat="1">
      <c r="A621" s="57">
        <v>348</v>
      </c>
      <c r="B621" s="37">
        <v>45289</v>
      </c>
      <c r="C621" s="28">
        <v>45290</v>
      </c>
      <c r="D621" s="29" t="s">
        <v>2006</v>
      </c>
      <c r="E621" s="29">
        <v>21995218556</v>
      </c>
      <c r="F621" s="31" t="s">
        <v>11</v>
      </c>
      <c r="G621" s="31" t="s">
        <v>1798</v>
      </c>
      <c r="H621" s="77" t="s">
        <v>2221</v>
      </c>
      <c r="I621" s="31">
        <f>VLOOKUP(H621,PACOTES!B:E,4,FALSE)</f>
        <v>5</v>
      </c>
      <c r="J621" s="77" t="s">
        <v>134</v>
      </c>
      <c r="K621" s="32">
        <v>2900</v>
      </c>
      <c r="L621" s="32">
        <v>2900</v>
      </c>
      <c r="M621" s="108">
        <v>0</v>
      </c>
      <c r="N621" s="32"/>
      <c r="O621" s="32"/>
      <c r="P621" s="32"/>
    </row>
    <row r="622" spans="1:16" s="4" customFormat="1">
      <c r="A622" s="62">
        <v>230</v>
      </c>
      <c r="B622" s="53">
        <v>45292</v>
      </c>
      <c r="C622" s="53">
        <v>45292</v>
      </c>
      <c r="D622" s="50" t="s">
        <v>1386</v>
      </c>
      <c r="E622" s="51">
        <v>21982731970</v>
      </c>
      <c r="F622" s="33" t="s">
        <v>10</v>
      </c>
      <c r="G622" s="33" t="s">
        <v>1503</v>
      </c>
      <c r="H622" s="77" t="s">
        <v>2222</v>
      </c>
      <c r="I622" s="31">
        <f>VLOOKUP(H622,PACOTES!B:E,4,FALSE)</f>
        <v>4</v>
      </c>
      <c r="J622" s="77" t="s">
        <v>134</v>
      </c>
      <c r="K622" s="52">
        <v>4200</v>
      </c>
      <c r="L622" s="52">
        <v>4200</v>
      </c>
      <c r="M622" s="108">
        <v>0</v>
      </c>
      <c r="N622" s="52"/>
      <c r="O622" s="52"/>
      <c r="P622" s="52"/>
    </row>
    <row r="623" spans="1:16" s="2" customFormat="1">
      <c r="A623" s="62">
        <v>13</v>
      </c>
      <c r="B623" s="53">
        <v>45300</v>
      </c>
      <c r="C623" s="53">
        <v>45310</v>
      </c>
      <c r="D623" s="50" t="s">
        <v>1229</v>
      </c>
      <c r="E623" s="51">
        <v>21964157582</v>
      </c>
      <c r="F623" s="33" t="s">
        <v>10</v>
      </c>
      <c r="G623" s="33" t="s">
        <v>1230</v>
      </c>
      <c r="H623" s="77" t="s">
        <v>2221</v>
      </c>
      <c r="I623" s="31">
        <f>VLOOKUP(H623,PACOTES!B:E,4,FALSE)</f>
        <v>5</v>
      </c>
      <c r="J623" s="77" t="s">
        <v>134</v>
      </c>
      <c r="K623" s="52">
        <v>3900</v>
      </c>
      <c r="L623" s="52">
        <v>3900</v>
      </c>
      <c r="M623" s="108">
        <v>0</v>
      </c>
      <c r="N623" s="52"/>
      <c r="O623" s="52"/>
      <c r="P623" s="52"/>
    </row>
    <row r="624" spans="1:16" s="2" customFormat="1">
      <c r="A624" s="57">
        <v>50</v>
      </c>
      <c r="B624" s="37">
        <v>45305</v>
      </c>
      <c r="C624" s="28">
        <v>45324</v>
      </c>
      <c r="D624" s="29" t="s">
        <v>1389</v>
      </c>
      <c r="E624" s="35">
        <v>21964951155</v>
      </c>
      <c r="F624" s="31" t="s">
        <v>7</v>
      </c>
      <c r="G624" s="33" t="s">
        <v>1391</v>
      </c>
      <c r="H624" s="77" t="s">
        <v>2214</v>
      </c>
      <c r="I624" s="31"/>
      <c r="J624" s="77" t="s">
        <v>2214</v>
      </c>
      <c r="K624" s="32">
        <v>2700</v>
      </c>
      <c r="L624" s="32">
        <v>2700</v>
      </c>
      <c r="M624" s="108">
        <v>0</v>
      </c>
      <c r="N624" s="104" t="s">
        <v>2214</v>
      </c>
      <c r="O624" s="32"/>
      <c r="P624" s="32"/>
    </row>
    <row r="625" spans="1:16" s="4" customFormat="1">
      <c r="A625" s="62">
        <v>230</v>
      </c>
      <c r="B625" s="53">
        <v>45314</v>
      </c>
      <c r="C625" s="53">
        <v>45324</v>
      </c>
      <c r="D625" s="50" t="s">
        <v>1386</v>
      </c>
      <c r="E625" s="51">
        <v>21982731970</v>
      </c>
      <c r="F625" s="33" t="s">
        <v>10</v>
      </c>
      <c r="G625" s="33" t="s">
        <v>1503</v>
      </c>
      <c r="H625" s="77" t="s">
        <v>2221</v>
      </c>
      <c r="I625" s="31">
        <f>VLOOKUP(H625,PACOTES!B:E,4,FALSE)</f>
        <v>5</v>
      </c>
      <c r="J625" s="77" t="s">
        <v>134</v>
      </c>
      <c r="K625" s="52">
        <v>4400</v>
      </c>
      <c r="L625" s="52">
        <v>4400</v>
      </c>
      <c r="M625" s="108">
        <v>0</v>
      </c>
      <c r="N625" s="52"/>
      <c r="O625" s="52"/>
      <c r="P625" s="52"/>
    </row>
    <row r="626" spans="1:16" s="2" customFormat="1">
      <c r="A626" s="62">
        <v>317</v>
      </c>
      <c r="B626" s="53">
        <v>45323</v>
      </c>
      <c r="C626" s="53">
        <v>45323</v>
      </c>
      <c r="D626" s="50" t="s">
        <v>1199</v>
      </c>
      <c r="E626" s="51">
        <v>21992140417</v>
      </c>
      <c r="F626" s="33" t="s">
        <v>10</v>
      </c>
      <c r="G626" s="33" t="s">
        <v>1955</v>
      </c>
      <c r="H626" s="77" t="s">
        <v>2222</v>
      </c>
      <c r="I626" s="31">
        <f>VLOOKUP(H626,PACOTES!B:E,4,FALSE)</f>
        <v>4</v>
      </c>
      <c r="J626" s="77" t="s">
        <v>134</v>
      </c>
      <c r="K626" s="52">
        <v>3900</v>
      </c>
      <c r="L626" s="52">
        <v>3900</v>
      </c>
      <c r="M626" s="108">
        <v>0</v>
      </c>
      <c r="N626" s="52"/>
      <c r="O626" s="52"/>
      <c r="P626" s="52"/>
    </row>
    <row r="627" spans="1:16" s="2" customFormat="1">
      <c r="A627" s="62">
        <v>167</v>
      </c>
      <c r="B627" s="53">
        <v>45352</v>
      </c>
      <c r="C627" s="53">
        <v>45352</v>
      </c>
      <c r="D627" s="50" t="s">
        <v>1240</v>
      </c>
      <c r="E627" s="51">
        <v>21976408956</v>
      </c>
      <c r="F627" s="33" t="s">
        <v>10</v>
      </c>
      <c r="G627" s="33" t="s">
        <v>1502</v>
      </c>
      <c r="H627" s="77" t="s">
        <v>2221</v>
      </c>
      <c r="I627" s="31">
        <f>VLOOKUP(H627,PACOTES!B:E,4,FALSE)</f>
        <v>5</v>
      </c>
      <c r="J627" s="77" t="s">
        <v>134</v>
      </c>
      <c r="K627" s="52">
        <v>4400</v>
      </c>
      <c r="L627" s="52">
        <v>4400</v>
      </c>
      <c r="M627" s="108">
        <v>0</v>
      </c>
      <c r="N627" s="52"/>
      <c r="O627" s="52"/>
      <c r="P627" s="52"/>
    </row>
    <row r="628" spans="1:16" s="4" customFormat="1">
      <c r="A628" s="57">
        <v>440</v>
      </c>
      <c r="B628" s="37">
        <v>45357</v>
      </c>
      <c r="C628" s="28">
        <v>45357</v>
      </c>
      <c r="D628" s="29" t="s">
        <v>2122</v>
      </c>
      <c r="E628" s="31">
        <v>24992598558</v>
      </c>
      <c r="F628" s="31" t="s">
        <v>11</v>
      </c>
      <c r="G628" s="31" t="s">
        <v>2123</v>
      </c>
      <c r="H628" s="77" t="s">
        <v>2221</v>
      </c>
      <c r="I628" s="31">
        <f>VLOOKUP(H628,PACOTES!B:E,4,FALSE)</f>
        <v>5</v>
      </c>
      <c r="J628" s="77" t="s">
        <v>134</v>
      </c>
      <c r="K628" s="32">
        <v>2700</v>
      </c>
      <c r="L628" s="32">
        <v>2700</v>
      </c>
      <c r="M628" s="108">
        <v>0</v>
      </c>
      <c r="N628" s="32"/>
      <c r="O628" s="32"/>
      <c r="P628" s="32"/>
    </row>
    <row r="629" spans="1:16" s="4" customFormat="1">
      <c r="A629" s="57">
        <v>397</v>
      </c>
      <c r="B629" s="37">
        <v>45380</v>
      </c>
      <c r="C629" s="28">
        <v>45380</v>
      </c>
      <c r="D629" s="29" t="s">
        <v>2065</v>
      </c>
      <c r="E629" s="31">
        <v>21998936742</v>
      </c>
      <c r="F629" s="31" t="s">
        <v>11</v>
      </c>
      <c r="G629" s="31" t="s">
        <v>1857</v>
      </c>
      <c r="H629" s="77" t="s">
        <v>2222</v>
      </c>
      <c r="I629" s="31">
        <f>VLOOKUP(H629,PACOTES!B:E,4,FALSE)</f>
        <v>4</v>
      </c>
      <c r="J629" s="77" t="s">
        <v>134</v>
      </c>
      <c r="K629" s="32">
        <v>2900</v>
      </c>
      <c r="L629" s="32">
        <v>2900</v>
      </c>
      <c r="M629" s="108">
        <v>0</v>
      </c>
      <c r="N629" s="32"/>
      <c r="O629" s="32"/>
      <c r="P629" s="32"/>
    </row>
    <row r="630" spans="1:16" s="2" customFormat="1">
      <c r="A630" s="57">
        <v>400</v>
      </c>
      <c r="B630" s="37">
        <v>45387</v>
      </c>
      <c r="C630" s="28">
        <v>45387</v>
      </c>
      <c r="D630" s="29" t="s">
        <v>1378</v>
      </c>
      <c r="E630" s="35">
        <v>21999380807</v>
      </c>
      <c r="F630" s="33" t="s">
        <v>10</v>
      </c>
      <c r="G630" s="33" t="s">
        <v>1379</v>
      </c>
      <c r="H630" s="77" t="s">
        <v>2226</v>
      </c>
      <c r="I630" s="31">
        <f>VLOOKUP(H630,PACOTES!B:E,4,FALSE)</f>
        <v>0</v>
      </c>
      <c r="J630" s="77" t="s">
        <v>419</v>
      </c>
      <c r="K630" s="52">
        <v>3400</v>
      </c>
      <c r="L630" s="52">
        <v>3400</v>
      </c>
      <c r="M630" s="108">
        <v>0</v>
      </c>
      <c r="N630" s="52"/>
      <c r="O630" s="52"/>
      <c r="P630" s="52"/>
    </row>
    <row r="631" spans="1:16" s="2" customFormat="1">
      <c r="A631" s="57">
        <v>521</v>
      </c>
      <c r="B631" s="37">
        <v>45406</v>
      </c>
      <c r="C631" s="28">
        <v>45406</v>
      </c>
      <c r="D631" s="29" t="s">
        <v>1477</v>
      </c>
      <c r="E631" s="35">
        <v>54984066565</v>
      </c>
      <c r="F631" s="31" t="s">
        <v>11</v>
      </c>
      <c r="G631" s="31" t="s">
        <v>1228</v>
      </c>
      <c r="H631" s="77" t="s">
        <v>2224</v>
      </c>
      <c r="I631" s="31">
        <f>VLOOKUP(H631,PACOTES!B:E,4,FALSE)</f>
        <v>2</v>
      </c>
      <c r="J631" s="77" t="s">
        <v>134</v>
      </c>
      <c r="K631" s="32">
        <v>2700</v>
      </c>
      <c r="L631" s="32">
        <v>2700</v>
      </c>
      <c r="M631" s="108">
        <v>0</v>
      </c>
      <c r="N631" s="32"/>
      <c r="O631" s="32"/>
      <c r="P631" s="32"/>
    </row>
    <row r="632" spans="1:16" s="2" customFormat="1">
      <c r="A632" s="57">
        <v>409</v>
      </c>
      <c r="B632" s="37">
        <v>45415</v>
      </c>
      <c r="C632" s="28">
        <v>45415</v>
      </c>
      <c r="D632" s="29" t="s">
        <v>2082</v>
      </c>
      <c r="E632" s="35">
        <v>22981249621</v>
      </c>
      <c r="F632" s="31" t="s">
        <v>9</v>
      </c>
      <c r="G632" s="31" t="s">
        <v>2083</v>
      </c>
      <c r="H632" s="77" t="s">
        <v>2222</v>
      </c>
      <c r="I632" s="31">
        <f>VLOOKUP(H632,PACOTES!B:E,4,FALSE)</f>
        <v>4</v>
      </c>
      <c r="J632" s="77" t="s">
        <v>134</v>
      </c>
      <c r="K632" s="32">
        <v>5100</v>
      </c>
      <c r="L632" s="32">
        <v>5100</v>
      </c>
      <c r="M632" s="108">
        <v>0</v>
      </c>
      <c r="N632" s="32"/>
      <c r="O632" s="32"/>
      <c r="P632" s="32"/>
    </row>
    <row r="633" spans="1:16" s="2" customFormat="1">
      <c r="A633" s="57">
        <v>121</v>
      </c>
      <c r="B633" s="37">
        <v>45416</v>
      </c>
      <c r="C633" s="28">
        <v>45416</v>
      </c>
      <c r="D633" s="29" t="s">
        <v>1624</v>
      </c>
      <c r="E633" s="35">
        <v>21970477267</v>
      </c>
      <c r="F633" s="31" t="s">
        <v>11</v>
      </c>
      <c r="G633" s="31" t="s">
        <v>1625</v>
      </c>
      <c r="H633" s="77" t="s">
        <v>2222</v>
      </c>
      <c r="I633" s="31">
        <f>VLOOKUP(H633,PACOTES!B:E,4,FALSE)</f>
        <v>4</v>
      </c>
      <c r="J633" s="77" t="s">
        <v>134</v>
      </c>
      <c r="K633" s="32">
        <v>2700</v>
      </c>
      <c r="L633" s="32">
        <v>2700</v>
      </c>
      <c r="M633" s="108">
        <v>0</v>
      </c>
      <c r="N633" s="32"/>
      <c r="O633" s="32"/>
      <c r="P633" s="32"/>
    </row>
    <row r="634" spans="1:16" s="4" customFormat="1">
      <c r="A634" s="57">
        <v>407</v>
      </c>
      <c r="B634" s="37">
        <v>45416</v>
      </c>
      <c r="C634" s="28">
        <v>45416</v>
      </c>
      <c r="D634" s="29" t="s">
        <v>2079</v>
      </c>
      <c r="E634" s="35">
        <v>22988160039</v>
      </c>
      <c r="F634" s="33" t="s">
        <v>10</v>
      </c>
      <c r="G634" s="33" t="s">
        <v>1207</v>
      </c>
      <c r="H634" s="77" t="s">
        <v>2226</v>
      </c>
      <c r="I634" s="31">
        <f>VLOOKUP(H634,PACOTES!B:E,4,FALSE)</f>
        <v>0</v>
      </c>
      <c r="J634" s="77" t="s">
        <v>134</v>
      </c>
      <c r="K634" s="52">
        <v>3900</v>
      </c>
      <c r="L634" s="52">
        <v>3900</v>
      </c>
      <c r="M634" s="108">
        <v>0</v>
      </c>
      <c r="N634" s="106" t="s">
        <v>2256</v>
      </c>
      <c r="O634" s="106" t="s">
        <v>135</v>
      </c>
      <c r="P634" s="106" t="s">
        <v>135</v>
      </c>
    </row>
    <row r="635" spans="1:16" s="4" customFormat="1">
      <c r="A635" s="57">
        <v>481</v>
      </c>
      <c r="B635" s="37">
        <v>45420</v>
      </c>
      <c r="C635" s="28">
        <v>45421</v>
      </c>
      <c r="D635" s="29" t="s">
        <v>1313</v>
      </c>
      <c r="E635" s="35">
        <v>17868106424</v>
      </c>
      <c r="F635" s="31" t="s">
        <v>11</v>
      </c>
      <c r="G635" s="31" t="s">
        <v>1314</v>
      </c>
      <c r="H635" s="77" t="s">
        <v>2224</v>
      </c>
      <c r="I635" s="31">
        <f>VLOOKUP(H635,PACOTES!B:E,4,FALSE)</f>
        <v>2</v>
      </c>
      <c r="J635" s="77" t="s">
        <v>419</v>
      </c>
      <c r="K635" s="32">
        <v>0</v>
      </c>
      <c r="L635" s="32">
        <v>0</v>
      </c>
      <c r="M635" s="108">
        <v>0</v>
      </c>
      <c r="N635" s="32"/>
      <c r="O635" s="32"/>
      <c r="P635" s="32"/>
    </row>
    <row r="636" spans="1:16" s="4" customFormat="1">
      <c r="A636" s="57">
        <v>366</v>
      </c>
      <c r="B636" s="37">
        <v>45420</v>
      </c>
      <c r="C636" s="28">
        <v>45420</v>
      </c>
      <c r="D636" s="29" t="s">
        <v>2031</v>
      </c>
      <c r="E636" s="35">
        <v>21996584245</v>
      </c>
      <c r="F636" s="33" t="s">
        <v>10</v>
      </c>
      <c r="G636" s="33" t="s">
        <v>1207</v>
      </c>
      <c r="H636" s="77" t="s">
        <v>2222</v>
      </c>
      <c r="I636" s="31">
        <f>VLOOKUP(H636,PACOTES!B:E,4,FALSE)</f>
        <v>4</v>
      </c>
      <c r="J636" s="77" t="s">
        <v>134</v>
      </c>
      <c r="K636" s="52">
        <v>3900</v>
      </c>
      <c r="L636" s="52">
        <v>3900</v>
      </c>
      <c r="M636" s="108">
        <v>0</v>
      </c>
      <c r="N636" s="106" t="s">
        <v>2254</v>
      </c>
      <c r="O636" s="52"/>
      <c r="P636" s="52"/>
    </row>
    <row r="637" spans="1:16" s="17" customFormat="1">
      <c r="A637" s="57">
        <v>402</v>
      </c>
      <c r="B637" s="37">
        <v>45421</v>
      </c>
      <c r="C637" s="28">
        <v>45435</v>
      </c>
      <c r="D637" s="29" t="s">
        <v>2071</v>
      </c>
      <c r="E637" s="35">
        <v>21999864162</v>
      </c>
      <c r="F637" s="33" t="s">
        <v>10</v>
      </c>
      <c r="G637" s="33" t="s">
        <v>2072</v>
      </c>
      <c r="H637" s="77" t="s">
        <v>2222</v>
      </c>
      <c r="I637" s="31">
        <f>VLOOKUP(H637,PACOTES!B:E,4,FALSE)</f>
        <v>4</v>
      </c>
      <c r="J637" s="77" t="s">
        <v>134</v>
      </c>
      <c r="K637" s="52">
        <v>3900</v>
      </c>
      <c r="L637" s="52">
        <v>3900</v>
      </c>
      <c r="M637" s="108">
        <v>0</v>
      </c>
      <c r="N637" s="52"/>
      <c r="O637" s="52"/>
      <c r="P637" s="52"/>
    </row>
    <row r="638" spans="1:16" s="4" customFormat="1">
      <c r="A638" s="57">
        <v>48</v>
      </c>
      <c r="B638" s="37">
        <v>45426</v>
      </c>
      <c r="C638" s="28">
        <v>45433</v>
      </c>
      <c r="D638" s="29" t="s">
        <v>1382</v>
      </c>
      <c r="E638" s="35">
        <v>21964887387</v>
      </c>
      <c r="F638" s="31" t="s">
        <v>11</v>
      </c>
      <c r="G638" s="31" t="s">
        <v>1316</v>
      </c>
      <c r="H638" s="77" t="s">
        <v>2224</v>
      </c>
      <c r="I638" s="31">
        <f>VLOOKUP(H638,PACOTES!B:E,4,FALSE)</f>
        <v>2</v>
      </c>
      <c r="J638" s="77" t="s">
        <v>134</v>
      </c>
      <c r="K638" s="32">
        <v>2700</v>
      </c>
      <c r="L638" s="32">
        <v>2700</v>
      </c>
      <c r="M638" s="108">
        <v>0</v>
      </c>
      <c r="N638" s="32"/>
      <c r="O638" s="32"/>
      <c r="P638" s="32"/>
    </row>
    <row r="639" spans="1:16" s="4" customFormat="1">
      <c r="A639" s="57">
        <v>547</v>
      </c>
      <c r="B639" s="37">
        <v>45426</v>
      </c>
      <c r="C639" s="28">
        <v>45453</v>
      </c>
      <c r="D639" s="29" t="s">
        <v>1565</v>
      </c>
      <c r="E639" s="35">
        <v>83981822801</v>
      </c>
      <c r="F639" s="33" t="s">
        <v>10</v>
      </c>
      <c r="G639" s="33" t="s">
        <v>1566</v>
      </c>
      <c r="H639" s="77" t="s">
        <v>2222</v>
      </c>
      <c r="I639" s="31">
        <f>VLOOKUP(H639,PACOTES!B:E,4,FALSE)</f>
        <v>4</v>
      </c>
      <c r="J639" s="77" t="s">
        <v>134</v>
      </c>
      <c r="K639" s="52">
        <v>4400</v>
      </c>
      <c r="L639" s="52">
        <v>4400</v>
      </c>
      <c r="M639" s="108">
        <v>0</v>
      </c>
      <c r="N639" s="52"/>
      <c r="O639" s="52"/>
      <c r="P639" s="52"/>
    </row>
    <row r="640" spans="1:16" s="4" customFormat="1">
      <c r="A640" s="57">
        <v>281</v>
      </c>
      <c r="B640" s="37">
        <v>45426</v>
      </c>
      <c r="C640" s="28">
        <v>45429</v>
      </c>
      <c r="D640" s="29" t="s">
        <v>1900</v>
      </c>
      <c r="E640" s="35">
        <v>21987848704</v>
      </c>
      <c r="F640" s="31" t="s">
        <v>11</v>
      </c>
      <c r="G640" s="31" t="s">
        <v>1901</v>
      </c>
      <c r="H640" s="77" t="s">
        <v>2222</v>
      </c>
      <c r="I640" s="31">
        <f>VLOOKUP(H640,PACOTES!B:E,4,FALSE)</f>
        <v>4</v>
      </c>
      <c r="J640" s="77" t="s">
        <v>419</v>
      </c>
      <c r="K640" s="32">
        <v>2400</v>
      </c>
      <c r="L640" s="32">
        <v>2400</v>
      </c>
      <c r="M640" s="108">
        <v>0</v>
      </c>
      <c r="N640" s="32"/>
      <c r="O640" s="32"/>
      <c r="P640" s="32"/>
    </row>
    <row r="641" spans="1:16" s="4" customFormat="1">
      <c r="A641" s="57">
        <v>247</v>
      </c>
      <c r="B641" s="37">
        <v>45436</v>
      </c>
      <c r="C641" s="28">
        <v>45449</v>
      </c>
      <c r="D641" s="29" t="s">
        <v>1317</v>
      </c>
      <c r="E641" s="35">
        <v>21983935928</v>
      </c>
      <c r="F641" s="33" t="s">
        <v>10</v>
      </c>
      <c r="G641" s="33" t="s">
        <v>1834</v>
      </c>
      <c r="H641" s="77" t="s">
        <v>2222</v>
      </c>
      <c r="I641" s="31">
        <f>VLOOKUP(H641,PACOTES!B:E,4,FALSE)</f>
        <v>4</v>
      </c>
      <c r="J641" s="77" t="s">
        <v>419</v>
      </c>
      <c r="K641" s="52">
        <v>3600</v>
      </c>
      <c r="L641" s="52">
        <v>3600</v>
      </c>
      <c r="M641" s="108">
        <v>0</v>
      </c>
      <c r="N641" s="52"/>
      <c r="O641" s="52"/>
      <c r="P641" s="52"/>
    </row>
    <row r="642" spans="1:16" s="4" customFormat="1">
      <c r="A642" s="57">
        <v>540</v>
      </c>
      <c r="B642" s="37">
        <v>45446</v>
      </c>
      <c r="C642" s="28">
        <v>45447</v>
      </c>
      <c r="D642" s="29" t="s">
        <v>1543</v>
      </c>
      <c r="E642" s="35">
        <v>67999713038</v>
      </c>
      <c r="F642" s="31" t="s">
        <v>11</v>
      </c>
      <c r="G642" s="31" t="s">
        <v>1544</v>
      </c>
      <c r="H642" s="77" t="s">
        <v>2225</v>
      </c>
      <c r="I642" s="31">
        <f>VLOOKUP(H642,PACOTES!B:E,4,FALSE)</f>
        <v>1</v>
      </c>
      <c r="J642" s="77" t="s">
        <v>134</v>
      </c>
      <c r="K642" s="32">
        <v>2768.1</v>
      </c>
      <c r="L642" s="32">
        <v>2768.1</v>
      </c>
      <c r="M642" s="108">
        <v>0</v>
      </c>
      <c r="N642" s="32"/>
      <c r="O642" s="32"/>
      <c r="P642" s="32"/>
    </row>
    <row r="643" spans="1:16" s="4" customFormat="1">
      <c r="A643" s="57">
        <v>270</v>
      </c>
      <c r="B643" s="37">
        <v>45446</v>
      </c>
      <c r="C643" s="28">
        <v>45457</v>
      </c>
      <c r="D643" s="29" t="s">
        <v>1365</v>
      </c>
      <c r="E643" s="35">
        <v>21987026680</v>
      </c>
      <c r="F643" s="31" t="s">
        <v>11</v>
      </c>
      <c r="G643" s="31" t="s">
        <v>1878</v>
      </c>
      <c r="H643" s="77" t="s">
        <v>2224</v>
      </c>
      <c r="I643" s="31">
        <f>VLOOKUP(H643,PACOTES!B:E,4,FALSE)</f>
        <v>2</v>
      </c>
      <c r="J643" s="77" t="s">
        <v>134</v>
      </c>
      <c r="K643" s="32">
        <v>2500</v>
      </c>
      <c r="L643" s="32">
        <v>2500</v>
      </c>
      <c r="M643" s="108">
        <v>0</v>
      </c>
      <c r="N643" s="104" t="s">
        <v>2244</v>
      </c>
      <c r="O643" s="104" t="s">
        <v>135</v>
      </c>
      <c r="P643" s="104" t="s">
        <v>135</v>
      </c>
    </row>
    <row r="644" spans="1:16" s="4" customFormat="1">
      <c r="A644" s="57">
        <v>270</v>
      </c>
      <c r="B644" s="37">
        <v>45446</v>
      </c>
      <c r="C644" s="28">
        <v>45457</v>
      </c>
      <c r="D644" s="29" t="s">
        <v>1365</v>
      </c>
      <c r="E644" s="35">
        <v>21987026680</v>
      </c>
      <c r="F644" s="31" t="s">
        <v>11</v>
      </c>
      <c r="G644" s="31" t="s">
        <v>1879</v>
      </c>
      <c r="H644" s="77" t="s">
        <v>2224</v>
      </c>
      <c r="I644" s="31">
        <f>VLOOKUP(H644,PACOTES!B:E,4,FALSE)</f>
        <v>2</v>
      </c>
      <c r="J644" s="77" t="s">
        <v>134</v>
      </c>
      <c r="K644" s="32">
        <v>2500</v>
      </c>
      <c r="L644" s="32">
        <v>2500</v>
      </c>
      <c r="M644" s="108">
        <v>0</v>
      </c>
      <c r="N644" s="32"/>
      <c r="O644" s="32"/>
      <c r="P644" s="32"/>
    </row>
    <row r="645" spans="1:16" s="4" customFormat="1">
      <c r="A645" s="57">
        <v>521</v>
      </c>
      <c r="B645" s="37">
        <v>45452</v>
      </c>
      <c r="C645" s="28">
        <v>45457</v>
      </c>
      <c r="D645" s="29" t="s">
        <v>1477</v>
      </c>
      <c r="E645" s="35">
        <v>54984066565</v>
      </c>
      <c r="F645" s="33" t="s">
        <v>10</v>
      </c>
      <c r="G645" s="33" t="s">
        <v>1478</v>
      </c>
      <c r="H645" s="77" t="s">
        <v>2224</v>
      </c>
      <c r="I645" s="31">
        <f>VLOOKUP(H645,PACOTES!B:E,4,FALSE)</f>
        <v>2</v>
      </c>
      <c r="J645" s="77" t="s">
        <v>134</v>
      </c>
      <c r="K645" s="52">
        <v>3700</v>
      </c>
      <c r="L645" s="52">
        <v>3700</v>
      </c>
      <c r="M645" s="108">
        <v>0</v>
      </c>
      <c r="N645" s="52"/>
      <c r="O645" s="52"/>
      <c r="P645" s="52"/>
    </row>
    <row r="646" spans="1:16" s="4" customFormat="1">
      <c r="A646" s="57">
        <v>388</v>
      </c>
      <c r="B646" s="37">
        <v>45454</v>
      </c>
      <c r="C646" s="28">
        <v>45468</v>
      </c>
      <c r="D646" s="29" t="s">
        <v>2055</v>
      </c>
      <c r="E646" s="35">
        <v>21998142885</v>
      </c>
      <c r="F646" s="33" t="s">
        <v>10</v>
      </c>
      <c r="G646" s="33" t="s">
        <v>1478</v>
      </c>
      <c r="H646" s="77" t="s">
        <v>2222</v>
      </c>
      <c r="I646" s="31">
        <f>VLOOKUP(H646,PACOTES!B:E,4,FALSE)</f>
        <v>4</v>
      </c>
      <c r="J646" s="77" t="s">
        <v>134</v>
      </c>
      <c r="K646" s="52">
        <v>3700</v>
      </c>
      <c r="L646" s="52">
        <v>3700</v>
      </c>
      <c r="M646" s="108">
        <v>0</v>
      </c>
      <c r="N646" s="52"/>
      <c r="O646" s="52"/>
      <c r="P646" s="52"/>
    </row>
    <row r="647" spans="1:16" s="4" customFormat="1">
      <c r="A647" s="57">
        <v>141</v>
      </c>
      <c r="B647" s="37">
        <v>45457</v>
      </c>
      <c r="C647" s="28">
        <v>45457</v>
      </c>
      <c r="D647" s="29" t="s">
        <v>1658</v>
      </c>
      <c r="E647" s="35">
        <v>21973709133</v>
      </c>
      <c r="F647" s="33" t="s">
        <v>10</v>
      </c>
      <c r="G647" s="33" t="s">
        <v>1659</v>
      </c>
      <c r="H647" s="77" t="s">
        <v>2222</v>
      </c>
      <c r="I647" s="31">
        <f>VLOOKUP(H647,PACOTES!B:E,4,FALSE)</f>
        <v>4</v>
      </c>
      <c r="J647" s="77" t="s">
        <v>419</v>
      </c>
      <c r="K647" s="52">
        <v>3400</v>
      </c>
      <c r="L647" s="52">
        <v>3400</v>
      </c>
      <c r="M647" s="108">
        <v>0</v>
      </c>
      <c r="N647" s="52"/>
      <c r="O647" s="52"/>
      <c r="P647" s="52"/>
    </row>
    <row r="648" spans="1:16" s="4" customFormat="1">
      <c r="A648" s="57">
        <v>320</v>
      </c>
      <c r="B648" s="37">
        <v>45457</v>
      </c>
      <c r="C648" s="37">
        <v>45457</v>
      </c>
      <c r="D648" s="29" t="s">
        <v>1960</v>
      </c>
      <c r="E648" s="35">
        <v>21992354880</v>
      </c>
      <c r="F648" s="31" t="s">
        <v>11</v>
      </c>
      <c r="G648" s="31" t="s">
        <v>1961</v>
      </c>
      <c r="H648" s="77" t="s">
        <v>2222</v>
      </c>
      <c r="I648" s="31">
        <f>VLOOKUP(H648,PACOTES!B:E,4,FALSE)</f>
        <v>4</v>
      </c>
      <c r="J648" s="77" t="s">
        <v>419</v>
      </c>
      <c r="K648" s="32">
        <v>400</v>
      </c>
      <c r="L648" s="32">
        <v>400</v>
      </c>
      <c r="M648" s="108">
        <v>0</v>
      </c>
      <c r="N648" s="32"/>
      <c r="O648" s="32"/>
      <c r="P648" s="32"/>
    </row>
    <row r="649" spans="1:16" s="4" customFormat="1">
      <c r="A649" s="57">
        <v>118</v>
      </c>
      <c r="B649" s="37">
        <v>45460</v>
      </c>
      <c r="C649" s="28">
        <v>45460</v>
      </c>
      <c r="D649" s="29" t="s">
        <v>1621</v>
      </c>
      <c r="E649" s="35">
        <v>21970424597</v>
      </c>
      <c r="F649" s="31" t="s">
        <v>11</v>
      </c>
      <c r="G649" s="31" t="s">
        <v>1316</v>
      </c>
      <c r="H649" s="77" t="s">
        <v>2222</v>
      </c>
      <c r="I649" s="31">
        <f>VLOOKUP(H649,PACOTES!B:E,4,FALSE)</f>
        <v>4</v>
      </c>
      <c r="J649" s="77" t="s">
        <v>134</v>
      </c>
      <c r="K649" s="32">
        <v>2700</v>
      </c>
      <c r="L649" s="32">
        <v>2700</v>
      </c>
      <c r="M649" s="108">
        <v>0</v>
      </c>
      <c r="N649" s="32"/>
      <c r="O649" s="32"/>
      <c r="P649" s="32"/>
    </row>
    <row r="650" spans="1:16" s="4" customFormat="1">
      <c r="A650" s="57">
        <v>93</v>
      </c>
      <c r="B650" s="37">
        <v>45461</v>
      </c>
      <c r="C650" s="28">
        <v>45464</v>
      </c>
      <c r="D650" s="29" t="s">
        <v>1547</v>
      </c>
      <c r="E650" s="30">
        <v>21969825557</v>
      </c>
      <c r="F650" s="31" t="s">
        <v>11</v>
      </c>
      <c r="G650" s="31" t="s">
        <v>1438</v>
      </c>
      <c r="H650" s="77" t="s">
        <v>2222</v>
      </c>
      <c r="I650" s="31">
        <f>VLOOKUP(H650,PACOTES!B:E,4,FALSE)</f>
        <v>4</v>
      </c>
      <c r="J650" s="77" t="s">
        <v>419</v>
      </c>
      <c r="K650" s="32">
        <v>2400</v>
      </c>
      <c r="L650" s="32">
        <v>2400</v>
      </c>
      <c r="M650" s="108">
        <v>0</v>
      </c>
      <c r="N650" s="32"/>
      <c r="O650" s="32"/>
      <c r="P650" s="32"/>
    </row>
    <row r="651" spans="1:16" s="4" customFormat="1">
      <c r="A651" s="57">
        <v>481</v>
      </c>
      <c r="B651" s="37">
        <v>45467</v>
      </c>
      <c r="C651" s="28">
        <v>45469</v>
      </c>
      <c r="D651" s="29" t="s">
        <v>1313</v>
      </c>
      <c r="E651" s="35">
        <v>17868106424</v>
      </c>
      <c r="F651" s="31" t="s">
        <v>11</v>
      </c>
      <c r="G651" s="31" t="s">
        <v>1314</v>
      </c>
      <c r="H651" s="77" t="s">
        <v>2224</v>
      </c>
      <c r="I651" s="31">
        <f>VLOOKUP(H651,PACOTES!B:E,4,FALSE)</f>
        <v>2</v>
      </c>
      <c r="J651" s="77" t="s">
        <v>134</v>
      </c>
      <c r="K651" s="32">
        <v>2900</v>
      </c>
      <c r="L651" s="32">
        <v>2900</v>
      </c>
      <c r="M651" s="108">
        <v>0</v>
      </c>
      <c r="N651" s="32"/>
      <c r="O651" s="32"/>
      <c r="P651" s="32"/>
    </row>
    <row r="652" spans="1:16" s="17" customFormat="1">
      <c r="A652" s="57">
        <v>481</v>
      </c>
      <c r="B652" s="37">
        <v>45467</v>
      </c>
      <c r="C652" s="28">
        <v>45469</v>
      </c>
      <c r="D652" s="29" t="s">
        <v>1313</v>
      </c>
      <c r="E652" s="35">
        <v>17868106424</v>
      </c>
      <c r="F652" s="31" t="s">
        <v>11</v>
      </c>
      <c r="G652" s="31" t="s">
        <v>1314</v>
      </c>
      <c r="H652" s="77" t="s">
        <v>2224</v>
      </c>
      <c r="I652" s="31">
        <f>VLOOKUP(H652,PACOTES!B:E,4,FALSE)</f>
        <v>2</v>
      </c>
      <c r="J652" s="77" t="s">
        <v>134</v>
      </c>
      <c r="K652" s="32">
        <v>2900</v>
      </c>
      <c r="L652" s="32">
        <v>2900</v>
      </c>
      <c r="M652" s="108">
        <v>0</v>
      </c>
      <c r="N652" s="32"/>
      <c r="O652" s="32"/>
      <c r="P652" s="32"/>
    </row>
    <row r="653" spans="1:16" s="17" customFormat="1">
      <c r="A653" s="57">
        <v>270</v>
      </c>
      <c r="B653" s="37">
        <v>45475</v>
      </c>
      <c r="C653" s="28">
        <v>45490</v>
      </c>
      <c r="D653" s="29" t="s">
        <v>1365</v>
      </c>
      <c r="E653" s="35">
        <v>21987026680</v>
      </c>
      <c r="F653" s="31" t="s">
        <v>10</v>
      </c>
      <c r="G653" s="33" t="s">
        <v>1880</v>
      </c>
      <c r="H653" s="77" t="s">
        <v>2224</v>
      </c>
      <c r="I653" s="31">
        <f>VLOOKUP(H653,PACOTES!B:E,4,FALSE)</f>
        <v>2</v>
      </c>
      <c r="J653" s="77" t="s">
        <v>134</v>
      </c>
      <c r="K653" s="32">
        <v>3700</v>
      </c>
      <c r="L653" s="32">
        <v>3700</v>
      </c>
      <c r="M653" s="108">
        <v>0</v>
      </c>
      <c r="N653" s="32"/>
      <c r="O653" s="32"/>
      <c r="P653" s="32"/>
    </row>
    <row r="654" spans="1:16" s="4" customFormat="1">
      <c r="A654" s="57">
        <v>13</v>
      </c>
      <c r="B654" s="37">
        <v>45481</v>
      </c>
      <c r="C654" s="28">
        <v>45496</v>
      </c>
      <c r="D654" s="50" t="s">
        <v>1229</v>
      </c>
      <c r="E654" s="51">
        <v>21964157582</v>
      </c>
      <c r="F654" s="31" t="s">
        <v>10</v>
      </c>
      <c r="G654" s="33" t="s">
        <v>1231</v>
      </c>
      <c r="H654" s="77" t="s">
        <v>2222</v>
      </c>
      <c r="I654" s="31">
        <f>VLOOKUP(H654,PACOTES!B:E,4,FALSE)</f>
        <v>4</v>
      </c>
      <c r="J654" s="77" t="s">
        <v>134</v>
      </c>
      <c r="K654" s="32">
        <v>3900</v>
      </c>
      <c r="L654" s="32">
        <v>3900</v>
      </c>
      <c r="M654" s="108">
        <v>0</v>
      </c>
      <c r="N654" s="32"/>
      <c r="O654" s="32"/>
      <c r="P654" s="32"/>
    </row>
    <row r="655" spans="1:16" s="4" customFormat="1">
      <c r="A655" s="57">
        <v>218</v>
      </c>
      <c r="B655" s="37">
        <v>45481</v>
      </c>
      <c r="C655" s="28">
        <v>45496</v>
      </c>
      <c r="D655" s="31" t="s">
        <v>1776</v>
      </c>
      <c r="E655" s="30">
        <v>21982103956</v>
      </c>
      <c r="F655" s="31" t="s">
        <v>10</v>
      </c>
      <c r="G655" s="33" t="s">
        <v>1779</v>
      </c>
      <c r="H655" s="77" t="s">
        <v>2222</v>
      </c>
      <c r="I655" s="31">
        <f>VLOOKUP(H655,PACOTES!B:E,4,FALSE)</f>
        <v>4</v>
      </c>
      <c r="J655" s="77" t="s">
        <v>419</v>
      </c>
      <c r="K655" s="32">
        <v>3500</v>
      </c>
      <c r="L655" s="32">
        <v>3500</v>
      </c>
      <c r="M655" s="108">
        <v>0</v>
      </c>
      <c r="N655" s="32"/>
      <c r="O655" s="32"/>
      <c r="P655" s="32"/>
    </row>
    <row r="656" spans="1:16" s="4" customFormat="1">
      <c r="A656" s="57">
        <v>60</v>
      </c>
      <c r="B656" s="37">
        <v>45483</v>
      </c>
      <c r="C656" s="28">
        <v>45498</v>
      </c>
      <c r="D656" s="50" t="s">
        <v>1434</v>
      </c>
      <c r="E656" s="51">
        <v>21965685882</v>
      </c>
      <c r="F656" s="31" t="s">
        <v>10</v>
      </c>
      <c r="G656" s="33" t="s">
        <v>1435</v>
      </c>
      <c r="H656" s="77" t="s">
        <v>2222</v>
      </c>
      <c r="I656" s="31">
        <f>VLOOKUP(H656,PACOTES!B:E,4,FALSE)</f>
        <v>4</v>
      </c>
      <c r="J656" s="77" t="s">
        <v>134</v>
      </c>
      <c r="K656" s="32">
        <v>3800</v>
      </c>
      <c r="L656" s="32">
        <v>3800</v>
      </c>
      <c r="M656" s="108">
        <v>0</v>
      </c>
      <c r="N656" s="32"/>
      <c r="O656" s="32"/>
      <c r="P656" s="32"/>
    </row>
    <row r="657" spans="1:16" s="4" customFormat="1">
      <c r="A657" s="57">
        <v>267</v>
      </c>
      <c r="B657" s="37">
        <v>45483</v>
      </c>
      <c r="C657" s="28">
        <v>45498</v>
      </c>
      <c r="D657" s="50" t="s">
        <v>1622</v>
      </c>
      <c r="E657" s="51">
        <v>21986408394</v>
      </c>
      <c r="F657" s="31" t="s">
        <v>10</v>
      </c>
      <c r="G657" s="33" t="s">
        <v>1871</v>
      </c>
      <c r="H657" s="77" t="s">
        <v>2222</v>
      </c>
      <c r="I657" s="31">
        <f>VLOOKUP(H657,PACOTES!B:E,4,FALSE)</f>
        <v>4</v>
      </c>
      <c r="J657" s="77" t="s">
        <v>134</v>
      </c>
      <c r="K657" s="32">
        <v>3800</v>
      </c>
      <c r="L657" s="32">
        <v>3800</v>
      </c>
      <c r="M657" s="108">
        <v>0</v>
      </c>
      <c r="N657" s="32"/>
      <c r="O657" s="32"/>
      <c r="P657" s="32"/>
    </row>
    <row r="658" spans="1:16" s="4" customFormat="1">
      <c r="A658" s="57">
        <v>268</v>
      </c>
      <c r="B658" s="37">
        <v>45483</v>
      </c>
      <c r="C658" s="28">
        <v>45498</v>
      </c>
      <c r="D658" s="50" t="s">
        <v>1874</v>
      </c>
      <c r="E658" s="51">
        <v>21986440159</v>
      </c>
      <c r="F658" s="31" t="s">
        <v>10</v>
      </c>
      <c r="G658" s="33" t="s">
        <v>1435</v>
      </c>
      <c r="H658" s="77" t="s">
        <v>2222</v>
      </c>
      <c r="I658" s="31">
        <f>VLOOKUP(H658,PACOTES!B:E,4,FALSE)</f>
        <v>4</v>
      </c>
      <c r="J658" s="77" t="s">
        <v>134</v>
      </c>
      <c r="K658" s="32">
        <v>3800</v>
      </c>
      <c r="L658" s="32">
        <v>3800</v>
      </c>
      <c r="M658" s="108">
        <v>0</v>
      </c>
      <c r="N658" s="32"/>
      <c r="O658" s="32"/>
      <c r="P658" s="32"/>
    </row>
    <row r="659" spans="1:16" s="4" customFormat="1">
      <c r="A659" s="57">
        <v>557</v>
      </c>
      <c r="B659" s="37">
        <v>45488</v>
      </c>
      <c r="C659" s="28">
        <v>45491</v>
      </c>
      <c r="D659" s="29" t="s">
        <v>1601</v>
      </c>
      <c r="E659" s="35">
        <v>98983036710</v>
      </c>
      <c r="F659" s="31" t="s">
        <v>11</v>
      </c>
      <c r="G659" s="31" t="s">
        <v>1228</v>
      </c>
      <c r="H659" s="77" t="s">
        <v>2222</v>
      </c>
      <c r="I659" s="31">
        <f>VLOOKUP(H659,PACOTES!B:E,4,FALSE)</f>
        <v>4</v>
      </c>
      <c r="J659" s="77" t="s">
        <v>134</v>
      </c>
      <c r="K659" s="32">
        <v>2900</v>
      </c>
      <c r="L659" s="32">
        <v>2900</v>
      </c>
      <c r="M659" s="108">
        <v>0</v>
      </c>
      <c r="N659" s="32"/>
      <c r="O659" s="32"/>
      <c r="P659" s="32"/>
    </row>
    <row r="660" spans="1:16" s="4" customFormat="1">
      <c r="A660" s="57">
        <v>256</v>
      </c>
      <c r="B660" s="37">
        <v>45489</v>
      </c>
      <c r="C660" s="28">
        <v>45504</v>
      </c>
      <c r="D660" s="50" t="s">
        <v>1850</v>
      </c>
      <c r="E660" s="51">
        <v>21985097205</v>
      </c>
      <c r="F660" s="31" t="s">
        <v>10</v>
      </c>
      <c r="G660" s="33" t="s">
        <v>1207</v>
      </c>
      <c r="H660" s="77" t="s">
        <v>2222</v>
      </c>
      <c r="I660" s="31">
        <f>VLOOKUP(H660,PACOTES!B:E,4,FALSE)</f>
        <v>4</v>
      </c>
      <c r="J660" s="77" t="s">
        <v>134</v>
      </c>
      <c r="K660" s="32">
        <v>3800</v>
      </c>
      <c r="L660" s="32">
        <v>3800</v>
      </c>
      <c r="M660" s="108">
        <v>0</v>
      </c>
      <c r="N660" s="32"/>
      <c r="O660" s="32"/>
      <c r="P660" s="32"/>
    </row>
    <row r="661" spans="1:16" s="4" customFormat="1">
      <c r="A661" s="57">
        <v>266</v>
      </c>
      <c r="B661" s="37">
        <v>45489</v>
      </c>
      <c r="C661" s="37">
        <v>45504</v>
      </c>
      <c r="D661" s="50" t="s">
        <v>1866</v>
      </c>
      <c r="E661" s="51">
        <v>21986314226</v>
      </c>
      <c r="F661" s="31" t="s">
        <v>10</v>
      </c>
      <c r="G661" s="33" t="s">
        <v>1551</v>
      </c>
      <c r="H661" s="31" t="s">
        <v>2226</v>
      </c>
      <c r="I661" s="31">
        <f>VLOOKUP(H661,PACOTES!B:E,4,FALSE)</f>
        <v>0</v>
      </c>
      <c r="J661" s="77" t="s">
        <v>134</v>
      </c>
      <c r="K661" s="32">
        <v>4200</v>
      </c>
      <c r="L661" s="32">
        <v>4200</v>
      </c>
      <c r="M661" s="108">
        <v>0</v>
      </c>
      <c r="N661" s="32"/>
      <c r="O661" s="32"/>
      <c r="P661" s="32"/>
    </row>
    <row r="662" spans="1:16" s="4" customFormat="1">
      <c r="A662" s="57">
        <v>48</v>
      </c>
      <c r="B662" s="37">
        <v>45493</v>
      </c>
      <c r="C662" s="28">
        <v>45493</v>
      </c>
      <c r="D662" s="29" t="s">
        <v>1382</v>
      </c>
      <c r="E662" s="35">
        <v>21964887387</v>
      </c>
      <c r="F662" s="31" t="s">
        <v>10</v>
      </c>
      <c r="G662" s="33" t="s">
        <v>1207</v>
      </c>
      <c r="H662" s="77" t="s">
        <v>2222</v>
      </c>
      <c r="I662" s="31">
        <f>VLOOKUP(H662,PACOTES!B:E,4,FALSE)</f>
        <v>4</v>
      </c>
      <c r="J662" s="77" t="s">
        <v>134</v>
      </c>
      <c r="K662" s="32">
        <v>3700</v>
      </c>
      <c r="L662" s="32">
        <v>3700</v>
      </c>
      <c r="M662" s="108">
        <v>0</v>
      </c>
      <c r="N662" s="32"/>
      <c r="O662" s="32"/>
      <c r="P662" s="32"/>
    </row>
    <row r="663" spans="1:16" s="4" customFormat="1">
      <c r="A663" s="57">
        <v>76</v>
      </c>
      <c r="B663" s="37">
        <v>45493</v>
      </c>
      <c r="C663" s="28">
        <v>45494</v>
      </c>
      <c r="D663" s="29" t="s">
        <v>1488</v>
      </c>
      <c r="E663" s="35">
        <v>21967951519</v>
      </c>
      <c r="F663" s="31" t="s">
        <v>11</v>
      </c>
      <c r="G663" s="31" t="s">
        <v>1489</v>
      </c>
      <c r="H663" s="77" t="s">
        <v>2222</v>
      </c>
      <c r="I663" s="31">
        <f>VLOOKUP(H663,PACOTES!B:E,4,FALSE)</f>
        <v>4</v>
      </c>
      <c r="J663" s="77" t="s">
        <v>134</v>
      </c>
      <c r="K663" s="32">
        <v>2900</v>
      </c>
      <c r="L663" s="32">
        <v>2900</v>
      </c>
      <c r="M663" s="108">
        <v>0</v>
      </c>
      <c r="N663" s="32"/>
      <c r="O663" s="32"/>
      <c r="P663" s="32"/>
    </row>
    <row r="664" spans="1:16" s="4" customFormat="1">
      <c r="A664" s="57">
        <v>227</v>
      </c>
      <c r="B664" s="37">
        <v>45499</v>
      </c>
      <c r="C664" s="28">
        <v>45499</v>
      </c>
      <c r="D664" s="29" t="s">
        <v>1797</v>
      </c>
      <c r="E664" s="35">
        <v>21982538116</v>
      </c>
      <c r="F664" s="31" t="s">
        <v>11</v>
      </c>
      <c r="G664" s="31" t="s">
        <v>1798</v>
      </c>
      <c r="H664" s="77" t="s">
        <v>2222</v>
      </c>
      <c r="I664" s="31">
        <f>VLOOKUP(H664,PACOTES!B:E,4,FALSE)</f>
        <v>4</v>
      </c>
      <c r="J664" s="77" t="s">
        <v>134</v>
      </c>
      <c r="K664" s="32">
        <v>2900</v>
      </c>
      <c r="L664" s="32">
        <v>2900</v>
      </c>
      <c r="M664" s="108">
        <v>0</v>
      </c>
      <c r="N664" s="32"/>
      <c r="O664" s="32"/>
      <c r="P664" s="32"/>
    </row>
    <row r="665" spans="1:16" s="4" customFormat="1">
      <c r="A665" s="57">
        <v>270</v>
      </c>
      <c r="B665" s="37">
        <v>45499</v>
      </c>
      <c r="C665" s="28">
        <v>45514</v>
      </c>
      <c r="D665" s="29" t="s">
        <v>1365</v>
      </c>
      <c r="E665" s="35">
        <v>21987026680</v>
      </c>
      <c r="F665" s="31" t="s">
        <v>10</v>
      </c>
      <c r="G665" s="33" t="s">
        <v>1880</v>
      </c>
      <c r="H665" s="77" t="s">
        <v>2224</v>
      </c>
      <c r="I665" s="31">
        <f>VLOOKUP(H665,PACOTES!B:E,4,FALSE)</f>
        <v>2</v>
      </c>
      <c r="J665" s="77" t="s">
        <v>134</v>
      </c>
      <c r="K665" s="32">
        <v>3700</v>
      </c>
      <c r="L665" s="32">
        <v>3700</v>
      </c>
      <c r="M665" s="108">
        <v>0</v>
      </c>
      <c r="N665" s="32"/>
      <c r="O665" s="32"/>
      <c r="P665" s="32"/>
    </row>
    <row r="666" spans="1:16" s="4" customFormat="1">
      <c r="A666" s="57">
        <v>169</v>
      </c>
      <c r="B666" s="37">
        <v>45502</v>
      </c>
      <c r="C666" s="37">
        <v>45517</v>
      </c>
      <c r="D666" s="50" t="s">
        <v>1697</v>
      </c>
      <c r="E666" s="51">
        <v>21977099428</v>
      </c>
      <c r="F666" s="31" t="s">
        <v>10</v>
      </c>
      <c r="G666" s="33" t="s">
        <v>1698</v>
      </c>
      <c r="H666" s="77" t="s">
        <v>2224</v>
      </c>
      <c r="I666" s="31">
        <f>VLOOKUP(H666,PACOTES!B:E,4,FALSE)</f>
        <v>2</v>
      </c>
      <c r="J666" s="77" t="s">
        <v>134</v>
      </c>
      <c r="K666" s="32">
        <v>4100</v>
      </c>
      <c r="L666" s="32">
        <v>4100</v>
      </c>
      <c r="M666" s="108">
        <v>0</v>
      </c>
      <c r="N666" s="32"/>
      <c r="O666" s="32"/>
      <c r="P666" s="32"/>
    </row>
    <row r="667" spans="1:16" s="4" customFormat="1">
      <c r="A667" s="57">
        <v>169</v>
      </c>
      <c r="B667" s="37">
        <v>45502</v>
      </c>
      <c r="C667" s="28">
        <v>45527</v>
      </c>
      <c r="D667" s="50" t="s">
        <v>1699</v>
      </c>
      <c r="E667" s="51">
        <v>21977099428</v>
      </c>
      <c r="F667" s="31" t="s">
        <v>10</v>
      </c>
      <c r="G667" s="33" t="s">
        <v>1551</v>
      </c>
      <c r="H667" s="77" t="s">
        <v>2222</v>
      </c>
      <c r="I667" s="31">
        <f>VLOOKUP(H667,PACOTES!B:E,4,FALSE)</f>
        <v>4</v>
      </c>
      <c r="J667" s="77" t="s">
        <v>134</v>
      </c>
      <c r="K667" s="32">
        <v>4200</v>
      </c>
      <c r="L667" s="32">
        <v>4200</v>
      </c>
      <c r="M667" s="108">
        <v>0</v>
      </c>
      <c r="N667" s="32"/>
      <c r="O667" s="32"/>
      <c r="P667" s="32"/>
    </row>
    <row r="668" spans="1:16" s="4" customFormat="1">
      <c r="A668" s="57">
        <v>266</v>
      </c>
      <c r="B668" s="37">
        <v>45502</v>
      </c>
      <c r="C668" s="28">
        <v>45517</v>
      </c>
      <c r="D668" s="50" t="s">
        <v>1866</v>
      </c>
      <c r="E668" s="51">
        <v>21986314226</v>
      </c>
      <c r="F668" s="31" t="s">
        <v>10</v>
      </c>
      <c r="G668" s="33" t="s">
        <v>1502</v>
      </c>
      <c r="H668" s="31" t="s">
        <v>2226</v>
      </c>
      <c r="I668" s="31">
        <f>VLOOKUP(H668,PACOTES!B:E,4,FALSE)</f>
        <v>0</v>
      </c>
      <c r="J668" s="77" t="s">
        <v>134</v>
      </c>
      <c r="K668" s="32">
        <v>4200</v>
      </c>
      <c r="L668" s="32">
        <v>4200</v>
      </c>
      <c r="M668" s="108">
        <v>0</v>
      </c>
      <c r="N668" s="32"/>
      <c r="O668" s="32"/>
      <c r="P668" s="32"/>
    </row>
    <row r="669" spans="1:16" s="17" customFormat="1">
      <c r="A669" s="57">
        <v>80</v>
      </c>
      <c r="B669" s="37">
        <v>45505</v>
      </c>
      <c r="C669" s="28">
        <v>45520</v>
      </c>
      <c r="D669" s="50" t="s">
        <v>1501</v>
      </c>
      <c r="E669" s="51">
        <v>21968802343</v>
      </c>
      <c r="F669" s="31" t="s">
        <v>10</v>
      </c>
      <c r="G669" s="33" t="s">
        <v>1502</v>
      </c>
      <c r="H669" s="77" t="s">
        <v>2222</v>
      </c>
      <c r="I669" s="31">
        <f>VLOOKUP(H669,PACOTES!B:E,4,FALSE)</f>
        <v>4</v>
      </c>
      <c r="J669" s="77" t="s">
        <v>134</v>
      </c>
      <c r="K669" s="32">
        <v>4400</v>
      </c>
      <c r="L669" s="32">
        <v>4400</v>
      </c>
      <c r="M669" s="108">
        <v>0</v>
      </c>
      <c r="N669" s="32"/>
      <c r="O669" s="32"/>
      <c r="P669" s="32"/>
    </row>
    <row r="670" spans="1:16" s="4" customFormat="1">
      <c r="A670" s="57">
        <v>80</v>
      </c>
      <c r="B670" s="37">
        <v>45512</v>
      </c>
      <c r="C670" s="28">
        <v>45527</v>
      </c>
      <c r="D670" s="50" t="s">
        <v>1501</v>
      </c>
      <c r="E670" s="51">
        <v>21968802343</v>
      </c>
      <c r="F670" s="31" t="s">
        <v>10</v>
      </c>
      <c r="G670" s="33" t="s">
        <v>1503</v>
      </c>
      <c r="H670" s="77" t="s">
        <v>2222</v>
      </c>
      <c r="I670" s="31">
        <f>VLOOKUP(H670,PACOTES!B:E,4,FALSE)</f>
        <v>4</v>
      </c>
      <c r="J670" s="77" t="s">
        <v>134</v>
      </c>
      <c r="K670" s="32">
        <v>4400</v>
      </c>
      <c r="L670" s="32">
        <v>4400</v>
      </c>
      <c r="M670" s="108">
        <v>0</v>
      </c>
      <c r="N670" s="32"/>
      <c r="O670" s="32"/>
      <c r="P670" s="32"/>
    </row>
    <row r="671" spans="1:16" s="4" customFormat="1">
      <c r="A671" s="57">
        <v>324</v>
      </c>
      <c r="B671" s="37">
        <v>45512</v>
      </c>
      <c r="C671" s="28">
        <v>45527</v>
      </c>
      <c r="D671" s="50" t="s">
        <v>1967</v>
      </c>
      <c r="E671" s="51">
        <v>21992863240</v>
      </c>
      <c r="F671" s="31" t="s">
        <v>10</v>
      </c>
      <c r="G671" s="33" t="s">
        <v>1968</v>
      </c>
      <c r="H671" s="77" t="s">
        <v>2222</v>
      </c>
      <c r="I671" s="31">
        <f>VLOOKUP(H671,PACOTES!B:E,4,FALSE)</f>
        <v>4</v>
      </c>
      <c r="J671" s="77" t="s">
        <v>134</v>
      </c>
      <c r="K671" s="32">
        <v>4400</v>
      </c>
      <c r="L671" s="32">
        <v>4400</v>
      </c>
      <c r="M671" s="108">
        <v>0</v>
      </c>
      <c r="N671" s="32"/>
      <c r="O671" s="32"/>
      <c r="P671" s="32"/>
    </row>
    <row r="672" spans="1:16" s="4" customFormat="1">
      <c r="A672" s="57">
        <v>106</v>
      </c>
      <c r="B672" s="37">
        <v>45513</v>
      </c>
      <c r="C672" s="28">
        <v>45527</v>
      </c>
      <c r="D672" s="29" t="s">
        <v>1589</v>
      </c>
      <c r="E672" s="35">
        <v>21970168976</v>
      </c>
      <c r="F672" s="31" t="s">
        <v>10</v>
      </c>
      <c r="G672" s="33" t="s">
        <v>1207</v>
      </c>
      <c r="H672" s="77" t="s">
        <v>2222</v>
      </c>
      <c r="I672" s="31">
        <f>VLOOKUP(H672,PACOTES!B:E,4,FALSE)</f>
        <v>4</v>
      </c>
      <c r="J672" s="77" t="s">
        <v>134</v>
      </c>
      <c r="K672" s="32">
        <v>3900</v>
      </c>
      <c r="L672" s="32">
        <v>3900</v>
      </c>
      <c r="M672" s="108">
        <v>0</v>
      </c>
      <c r="N672" s="32"/>
      <c r="O672" s="32"/>
      <c r="P672" s="32"/>
    </row>
    <row r="673" spans="1:16" s="4" customFormat="1">
      <c r="A673" s="57">
        <v>422</v>
      </c>
      <c r="B673" s="37">
        <v>45516</v>
      </c>
      <c r="C673" s="28">
        <v>45531</v>
      </c>
      <c r="D673" s="50" t="s">
        <v>2097</v>
      </c>
      <c r="E673" s="51">
        <v>22998274801</v>
      </c>
      <c r="F673" s="31" t="s">
        <v>10</v>
      </c>
      <c r="G673" s="33" t="s">
        <v>1551</v>
      </c>
      <c r="H673" s="77" t="s">
        <v>2222</v>
      </c>
      <c r="I673" s="31">
        <f>VLOOKUP(H673,PACOTES!B:E,4,FALSE)</f>
        <v>4</v>
      </c>
      <c r="J673" s="77" t="s">
        <v>134</v>
      </c>
      <c r="K673" s="32">
        <v>4400</v>
      </c>
      <c r="L673" s="32">
        <v>4400</v>
      </c>
      <c r="M673" s="108">
        <v>0</v>
      </c>
      <c r="N673" s="32"/>
      <c r="O673" s="32"/>
      <c r="P673" s="32"/>
    </row>
    <row r="674" spans="1:16" s="4" customFormat="1">
      <c r="A674" s="57">
        <v>419</v>
      </c>
      <c r="B674" s="37">
        <v>45518</v>
      </c>
      <c r="C674" s="28">
        <v>45533</v>
      </c>
      <c r="D674" s="50" t="s">
        <v>1621</v>
      </c>
      <c r="E674" s="51">
        <v>22996121408</v>
      </c>
      <c r="F674" s="31" t="s">
        <v>10</v>
      </c>
      <c r="G674" s="33" t="s">
        <v>1551</v>
      </c>
      <c r="H674" s="77" t="s">
        <v>2222</v>
      </c>
      <c r="I674" s="31">
        <f>VLOOKUP(H674,PACOTES!B:E,4,FALSE)</f>
        <v>4</v>
      </c>
      <c r="J674" s="77" t="s">
        <v>134</v>
      </c>
      <c r="K674" s="32">
        <v>4200</v>
      </c>
      <c r="L674" s="32">
        <v>4200</v>
      </c>
      <c r="M674" s="108">
        <v>0</v>
      </c>
      <c r="N674" s="32"/>
      <c r="O674" s="32"/>
      <c r="P674" s="32"/>
    </row>
    <row r="675" spans="1:16" s="4" customFormat="1">
      <c r="A675" s="57">
        <v>42</v>
      </c>
      <c r="B675" s="37">
        <v>45519</v>
      </c>
      <c r="C675" s="28">
        <v>45534</v>
      </c>
      <c r="D675" s="50" t="s">
        <v>1351</v>
      </c>
      <c r="E675" s="51">
        <v>21964701473</v>
      </c>
      <c r="F675" s="31" t="s">
        <v>9</v>
      </c>
      <c r="G675" s="33" t="s">
        <v>1354</v>
      </c>
      <c r="H675" s="77" t="s">
        <v>2226</v>
      </c>
      <c r="I675" s="31">
        <f>VLOOKUP(H675,PACOTES!B:E,4,FALSE)</f>
        <v>0</v>
      </c>
      <c r="J675" s="77" t="s">
        <v>134</v>
      </c>
      <c r="K675" s="32">
        <v>5200</v>
      </c>
      <c r="L675" s="32">
        <v>5200</v>
      </c>
      <c r="M675" s="108">
        <v>0</v>
      </c>
      <c r="N675" s="104" t="s">
        <v>2240</v>
      </c>
      <c r="O675" s="104" t="s">
        <v>135</v>
      </c>
      <c r="P675" s="104" t="s">
        <v>135</v>
      </c>
    </row>
    <row r="676" spans="1:16" s="4" customFormat="1">
      <c r="A676" s="57">
        <v>230</v>
      </c>
      <c r="B676" s="37">
        <v>45519</v>
      </c>
      <c r="C676" s="28">
        <v>45534</v>
      </c>
      <c r="D676" s="50" t="s">
        <v>1386</v>
      </c>
      <c r="E676" s="51">
        <v>21982731970</v>
      </c>
      <c r="F676" s="31" t="s">
        <v>10</v>
      </c>
      <c r="G676" s="33" t="s">
        <v>1801</v>
      </c>
      <c r="H676" s="77" t="s">
        <v>2222</v>
      </c>
      <c r="I676" s="31">
        <f>VLOOKUP(H676,PACOTES!B:E,4,FALSE)</f>
        <v>4</v>
      </c>
      <c r="J676" s="77" t="s">
        <v>134</v>
      </c>
      <c r="K676" s="32">
        <v>4400</v>
      </c>
      <c r="L676" s="32">
        <v>4400</v>
      </c>
      <c r="M676" s="108">
        <v>0</v>
      </c>
      <c r="N676" s="32"/>
      <c r="O676" s="32"/>
      <c r="P676" s="32"/>
    </row>
    <row r="677" spans="1:16" s="4" customFormat="1">
      <c r="A677" s="57">
        <v>270</v>
      </c>
      <c r="B677" s="37">
        <v>45519</v>
      </c>
      <c r="C677" s="28">
        <v>45534</v>
      </c>
      <c r="D677" s="50" t="s">
        <v>1365</v>
      </c>
      <c r="E677" s="51">
        <v>21987026680</v>
      </c>
      <c r="F677" s="31" t="s">
        <v>10</v>
      </c>
      <c r="G677" s="33" t="s">
        <v>1881</v>
      </c>
      <c r="H677" s="77" t="s">
        <v>2224</v>
      </c>
      <c r="I677" s="31">
        <f>VLOOKUP(H677,PACOTES!B:E,4,FALSE)</f>
        <v>2</v>
      </c>
      <c r="J677" s="77" t="s">
        <v>134</v>
      </c>
      <c r="K677" s="32">
        <v>3700</v>
      </c>
      <c r="L677" s="32">
        <v>3700</v>
      </c>
      <c r="M677" s="108">
        <v>0</v>
      </c>
      <c r="N677" s="32"/>
      <c r="O677" s="32"/>
      <c r="P677" s="32"/>
    </row>
    <row r="678" spans="1:16" s="4" customFormat="1">
      <c r="A678" s="57">
        <v>316</v>
      </c>
      <c r="B678" s="37">
        <v>45521</v>
      </c>
      <c r="C678" s="28">
        <v>45522</v>
      </c>
      <c r="D678" s="29" t="s">
        <v>1953</v>
      </c>
      <c r="E678" s="35">
        <v>21992092735</v>
      </c>
      <c r="F678" s="31" t="s">
        <v>11</v>
      </c>
      <c r="G678" s="31" t="s">
        <v>1798</v>
      </c>
      <c r="H678" s="77" t="s">
        <v>2222</v>
      </c>
      <c r="I678" s="31">
        <f>VLOOKUP(H678,PACOTES!B:E,4,FALSE)</f>
        <v>4</v>
      </c>
      <c r="J678" s="77" t="s">
        <v>134</v>
      </c>
      <c r="K678" s="32">
        <v>2700</v>
      </c>
      <c r="L678" s="32">
        <v>2700</v>
      </c>
      <c r="M678" s="108">
        <v>0</v>
      </c>
      <c r="N678" s="32"/>
      <c r="O678" s="32"/>
      <c r="P678" s="32"/>
    </row>
    <row r="679" spans="1:16" s="17" customFormat="1">
      <c r="A679" s="57">
        <v>486</v>
      </c>
      <c r="B679" s="37">
        <v>45525</v>
      </c>
      <c r="C679" s="28">
        <v>45540</v>
      </c>
      <c r="D679" s="50" t="s">
        <v>1333</v>
      </c>
      <c r="E679" s="51">
        <v>28999761706</v>
      </c>
      <c r="F679" s="31" t="s">
        <v>10</v>
      </c>
      <c r="G679" s="33" t="s">
        <v>1334</v>
      </c>
      <c r="H679" s="77" t="s">
        <v>2222</v>
      </c>
      <c r="I679" s="31">
        <f>VLOOKUP(H679,PACOTES!B:E,4,FALSE)</f>
        <v>4</v>
      </c>
      <c r="J679" s="77" t="s">
        <v>134</v>
      </c>
      <c r="K679" s="32">
        <v>4350</v>
      </c>
      <c r="L679" s="32">
        <v>4350</v>
      </c>
      <c r="M679" s="108">
        <v>0</v>
      </c>
      <c r="N679" s="32"/>
      <c r="O679" s="32"/>
      <c r="P679" s="32"/>
    </row>
    <row r="680" spans="1:16" s="17" customFormat="1">
      <c r="A680" s="57">
        <v>262</v>
      </c>
      <c r="B680" s="37">
        <v>45525</v>
      </c>
      <c r="C680" s="28">
        <v>45525</v>
      </c>
      <c r="D680" s="29" t="s">
        <v>1859</v>
      </c>
      <c r="E680" s="35">
        <v>21986046055</v>
      </c>
      <c r="F680" s="31" t="s">
        <v>11</v>
      </c>
      <c r="G680" s="31" t="s">
        <v>1860</v>
      </c>
      <c r="H680" s="77" t="s">
        <v>2224</v>
      </c>
      <c r="I680" s="31">
        <f>VLOOKUP(H680,PACOTES!B:E,4,FALSE)</f>
        <v>2</v>
      </c>
      <c r="J680" s="77" t="s">
        <v>134</v>
      </c>
      <c r="K680" s="32">
        <v>2800</v>
      </c>
      <c r="L680" s="32">
        <v>2800</v>
      </c>
      <c r="M680" s="108">
        <v>0</v>
      </c>
      <c r="N680" s="32"/>
      <c r="O680" s="32"/>
      <c r="P680" s="32"/>
    </row>
    <row r="681" spans="1:16" s="20" customFormat="1">
      <c r="A681" s="57">
        <v>201</v>
      </c>
      <c r="B681" s="37">
        <v>45526</v>
      </c>
      <c r="C681" s="28">
        <v>45535</v>
      </c>
      <c r="D681" s="29" t="s">
        <v>1539</v>
      </c>
      <c r="E681" s="35">
        <v>21981331426</v>
      </c>
      <c r="F681" s="31" t="s">
        <v>11</v>
      </c>
      <c r="G681" s="31" t="s">
        <v>1316</v>
      </c>
      <c r="H681" s="77" t="s">
        <v>2222</v>
      </c>
      <c r="I681" s="31">
        <f>VLOOKUP(H681,PACOTES!B:E,4,FALSE)</f>
        <v>4</v>
      </c>
      <c r="J681" s="77" t="s">
        <v>134</v>
      </c>
      <c r="K681" s="32">
        <v>2900</v>
      </c>
      <c r="L681" s="32">
        <v>2900</v>
      </c>
      <c r="M681" s="108">
        <v>0</v>
      </c>
      <c r="N681" s="32"/>
      <c r="O681" s="32"/>
      <c r="P681" s="32"/>
    </row>
    <row r="682" spans="1:16" s="4" customFormat="1">
      <c r="A682" s="57">
        <v>455</v>
      </c>
      <c r="B682" s="37">
        <v>45527</v>
      </c>
      <c r="C682" s="28">
        <v>45542</v>
      </c>
      <c r="D682" s="29" t="s">
        <v>1206</v>
      </c>
      <c r="E682" s="35">
        <v>11948342466</v>
      </c>
      <c r="F682" s="31" t="s">
        <v>10</v>
      </c>
      <c r="G682" s="33" t="s">
        <v>1207</v>
      </c>
      <c r="H682" s="77" t="s">
        <v>2222</v>
      </c>
      <c r="I682" s="31">
        <f>VLOOKUP(H682,PACOTES!B:E,4,FALSE)</f>
        <v>4</v>
      </c>
      <c r="J682" s="77" t="s">
        <v>134</v>
      </c>
      <c r="K682" s="32">
        <v>3700</v>
      </c>
      <c r="L682" s="32">
        <v>3700</v>
      </c>
      <c r="M682" s="108">
        <v>0</v>
      </c>
      <c r="N682" s="32"/>
      <c r="O682" s="32"/>
      <c r="P682" s="32"/>
    </row>
    <row r="683" spans="1:16" s="4" customFormat="1">
      <c r="A683" s="57">
        <v>400</v>
      </c>
      <c r="B683" s="37">
        <v>45532</v>
      </c>
      <c r="C683" s="28">
        <v>45547</v>
      </c>
      <c r="D683" s="29" t="s">
        <v>1378</v>
      </c>
      <c r="E683" s="35">
        <v>21999380807</v>
      </c>
      <c r="F683" s="31" t="s">
        <v>10</v>
      </c>
      <c r="G683" s="33" t="s">
        <v>1380</v>
      </c>
      <c r="H683" s="77" t="s">
        <v>2226</v>
      </c>
      <c r="I683" s="31">
        <f>VLOOKUP(H683,PACOTES!B:E,4,FALSE)</f>
        <v>0</v>
      </c>
      <c r="J683" s="77" t="s">
        <v>134</v>
      </c>
      <c r="K683" s="32">
        <v>3550</v>
      </c>
      <c r="L683" s="32">
        <v>3550</v>
      </c>
      <c r="M683" s="108">
        <v>0</v>
      </c>
      <c r="N683" s="32"/>
      <c r="O683" s="32"/>
      <c r="P683" s="32"/>
    </row>
    <row r="684" spans="1:16" s="4" customFormat="1">
      <c r="A684" s="57">
        <v>47</v>
      </c>
      <c r="B684" s="37">
        <v>45532</v>
      </c>
      <c r="C684" s="28">
        <v>45547</v>
      </c>
      <c r="D684" s="29" t="s">
        <v>1372</v>
      </c>
      <c r="E684" s="30">
        <v>21964500550</v>
      </c>
      <c r="F684" s="31" t="s">
        <v>10</v>
      </c>
      <c r="G684" s="33" t="s">
        <v>2197</v>
      </c>
      <c r="H684" s="77" t="s">
        <v>2226</v>
      </c>
      <c r="I684" s="31">
        <f>VLOOKUP(H684,PACOTES!B:E,4,FALSE)</f>
        <v>0</v>
      </c>
      <c r="J684" s="77" t="s">
        <v>134</v>
      </c>
      <c r="K684" s="32">
        <v>4250</v>
      </c>
      <c r="L684" s="32">
        <v>4250</v>
      </c>
      <c r="M684" s="108">
        <v>0</v>
      </c>
      <c r="N684" s="32"/>
      <c r="O684" s="32"/>
      <c r="P684" s="32"/>
    </row>
    <row r="685" spans="1:16" s="4" customFormat="1">
      <c r="A685" s="57">
        <v>282</v>
      </c>
      <c r="B685" s="37">
        <v>45544</v>
      </c>
      <c r="C685" s="28">
        <v>45546</v>
      </c>
      <c r="D685" s="29" t="s">
        <v>1470</v>
      </c>
      <c r="E685" s="35">
        <v>21987958704</v>
      </c>
      <c r="F685" s="31" t="s">
        <v>10</v>
      </c>
      <c r="G685" s="33" t="s">
        <v>1503</v>
      </c>
      <c r="H685" s="77" t="s">
        <v>2222</v>
      </c>
      <c r="I685" s="31">
        <f>VLOOKUP(H685,PACOTES!B:E,4,FALSE)</f>
        <v>4</v>
      </c>
      <c r="J685" s="77" t="s">
        <v>134</v>
      </c>
      <c r="K685" s="32">
        <v>4740</v>
      </c>
      <c r="L685" s="32">
        <v>4740</v>
      </c>
      <c r="M685" s="108">
        <v>0</v>
      </c>
      <c r="N685" s="32"/>
      <c r="O685" s="32"/>
      <c r="P685" s="32"/>
    </row>
    <row r="686" spans="1:16" s="4" customFormat="1">
      <c r="A686" s="57">
        <v>375</v>
      </c>
      <c r="B686" s="37">
        <v>45548</v>
      </c>
      <c r="C686" s="28">
        <v>45563</v>
      </c>
      <c r="D686" s="29" t="s">
        <v>2042</v>
      </c>
      <c r="E686" s="35">
        <v>21997214960</v>
      </c>
      <c r="F686" s="31" t="s">
        <v>10</v>
      </c>
      <c r="G686" s="33" t="s">
        <v>2043</v>
      </c>
      <c r="H686" s="77" t="s">
        <v>2222</v>
      </c>
      <c r="I686" s="31">
        <f>VLOOKUP(H686,PACOTES!B:E,4,FALSE)</f>
        <v>4</v>
      </c>
      <c r="J686" s="77" t="s">
        <v>419</v>
      </c>
      <c r="K686" s="32">
        <v>0</v>
      </c>
      <c r="L686" s="32">
        <v>0</v>
      </c>
      <c r="M686" s="108">
        <v>0</v>
      </c>
      <c r="N686" s="32"/>
      <c r="O686" s="32"/>
      <c r="P686" s="32"/>
    </row>
    <row r="687" spans="1:16" s="4" customFormat="1">
      <c r="A687" s="57">
        <v>218</v>
      </c>
      <c r="B687" s="37">
        <v>45551</v>
      </c>
      <c r="C687" s="28">
        <v>45566</v>
      </c>
      <c r="D687" s="29" t="s">
        <v>2198</v>
      </c>
      <c r="E687" s="30">
        <v>21982103956</v>
      </c>
      <c r="F687" s="31" t="s">
        <v>10</v>
      </c>
      <c r="G687" s="33" t="s">
        <v>2199</v>
      </c>
      <c r="H687" s="77" t="s">
        <v>2222</v>
      </c>
      <c r="I687" s="31">
        <f>VLOOKUP(H687,PACOTES!B:E,4,FALSE)</f>
        <v>4</v>
      </c>
      <c r="J687" s="77" t="s">
        <v>419</v>
      </c>
      <c r="K687" s="32">
        <v>3500</v>
      </c>
      <c r="L687" s="32">
        <v>3500</v>
      </c>
      <c r="M687" s="108">
        <v>0</v>
      </c>
      <c r="N687" s="32"/>
      <c r="O687" s="32"/>
      <c r="P687" s="32"/>
    </row>
    <row r="688" spans="1:16" s="4" customFormat="1">
      <c r="A688" s="57">
        <v>277</v>
      </c>
      <c r="B688" s="37">
        <v>45553</v>
      </c>
      <c r="C688" s="28">
        <v>45568</v>
      </c>
      <c r="D688" s="29" t="s">
        <v>1893</v>
      </c>
      <c r="E688" s="35">
        <v>21987595930</v>
      </c>
      <c r="F688" s="31" t="s">
        <v>10</v>
      </c>
      <c r="G688" s="33" t="s">
        <v>1207</v>
      </c>
      <c r="H688" s="77" t="s">
        <v>2222</v>
      </c>
      <c r="I688" s="31">
        <f>VLOOKUP(H688,PACOTES!B:E,4,FALSE)</f>
        <v>4</v>
      </c>
      <c r="J688" s="77" t="s">
        <v>134</v>
      </c>
      <c r="K688" s="32">
        <v>3800</v>
      </c>
      <c r="L688" s="32">
        <v>3800</v>
      </c>
      <c r="M688" s="108">
        <v>0</v>
      </c>
      <c r="N688" s="32"/>
      <c r="O688" s="32"/>
      <c r="P688" s="32"/>
    </row>
    <row r="689" spans="1:16" s="4" customFormat="1">
      <c r="A689" s="57">
        <v>397</v>
      </c>
      <c r="B689" s="37">
        <v>45560</v>
      </c>
      <c r="C689" s="28">
        <v>45575</v>
      </c>
      <c r="D689" s="29" t="s">
        <v>2065</v>
      </c>
      <c r="E689" s="35">
        <v>21998936742</v>
      </c>
      <c r="F689" s="31" t="s">
        <v>7</v>
      </c>
      <c r="G689" s="33" t="s">
        <v>2066</v>
      </c>
      <c r="H689" s="77" t="s">
        <v>2214</v>
      </c>
      <c r="I689" s="31"/>
      <c r="J689" s="77" t="s">
        <v>2214</v>
      </c>
      <c r="K689" s="32">
        <v>1900</v>
      </c>
      <c r="L689" s="32">
        <v>1900</v>
      </c>
      <c r="M689" s="108">
        <v>0</v>
      </c>
      <c r="N689" s="104" t="s">
        <v>2214</v>
      </c>
      <c r="O689" s="32"/>
      <c r="P689" s="32"/>
    </row>
    <row r="690" spans="1:16" s="21" customFormat="1">
      <c r="A690" s="57">
        <v>343</v>
      </c>
      <c r="B690" s="37">
        <v>45562</v>
      </c>
      <c r="C690" s="28">
        <v>45567</v>
      </c>
      <c r="D690" s="29" t="s">
        <v>1319</v>
      </c>
      <c r="E690" s="35">
        <v>21994998345</v>
      </c>
      <c r="F690" s="31" t="s">
        <v>11</v>
      </c>
      <c r="G690" s="31" t="s">
        <v>1999</v>
      </c>
      <c r="H690" s="77" t="s">
        <v>2222</v>
      </c>
      <c r="I690" s="31">
        <f>VLOOKUP(H690,PACOTES!B:E,4,FALSE)</f>
        <v>4</v>
      </c>
      <c r="J690" s="77" t="s">
        <v>134</v>
      </c>
      <c r="K690" s="32">
        <v>2600</v>
      </c>
      <c r="L690" s="32">
        <v>2600</v>
      </c>
      <c r="M690" s="108">
        <v>0</v>
      </c>
      <c r="N690" s="32"/>
      <c r="O690" s="32"/>
      <c r="P690" s="32"/>
    </row>
    <row r="691" spans="1:16" s="4" customFormat="1">
      <c r="A691" s="57">
        <v>41</v>
      </c>
      <c r="B691" s="37">
        <v>45572</v>
      </c>
      <c r="C691" s="28">
        <v>45584</v>
      </c>
      <c r="D691" s="29" t="s">
        <v>1348</v>
      </c>
      <c r="E691" s="35">
        <v>21964669278</v>
      </c>
      <c r="F691" s="31" t="s">
        <v>11</v>
      </c>
      <c r="G691" s="31" t="s">
        <v>1349</v>
      </c>
      <c r="H691" s="77" t="s">
        <v>2224</v>
      </c>
      <c r="I691" s="31">
        <f>VLOOKUP(H691,PACOTES!B:E,4,FALSE)</f>
        <v>2</v>
      </c>
      <c r="J691" s="77" t="s">
        <v>134</v>
      </c>
      <c r="K691" s="32">
        <v>2700</v>
      </c>
      <c r="L691" s="32">
        <v>2700</v>
      </c>
      <c r="M691" s="108">
        <v>0</v>
      </c>
      <c r="N691" s="32"/>
      <c r="O691" s="32"/>
      <c r="P691" s="32"/>
    </row>
    <row r="692" spans="1:16" s="4" customFormat="1">
      <c r="A692" s="57">
        <v>325</v>
      </c>
      <c r="B692" s="37">
        <v>45572</v>
      </c>
      <c r="C692" s="28">
        <v>45587</v>
      </c>
      <c r="D692" s="29" t="s">
        <v>1969</v>
      </c>
      <c r="E692" s="35">
        <v>21992905463</v>
      </c>
      <c r="F692" s="31" t="s">
        <v>10</v>
      </c>
      <c r="G692" s="33" t="s">
        <v>1418</v>
      </c>
      <c r="H692" s="77" t="s">
        <v>2222</v>
      </c>
      <c r="I692" s="31">
        <f>VLOOKUP(H692,PACOTES!B:E,4,FALSE)</f>
        <v>4</v>
      </c>
      <c r="J692" s="77" t="s">
        <v>134</v>
      </c>
      <c r="K692" s="32">
        <v>3700</v>
      </c>
      <c r="L692" s="32">
        <v>3700</v>
      </c>
      <c r="M692" s="108">
        <v>0</v>
      </c>
      <c r="N692" s="32"/>
      <c r="O692" s="32"/>
      <c r="P692" s="32"/>
    </row>
    <row r="693" spans="1:16" s="4" customFormat="1">
      <c r="A693" s="57">
        <v>342</v>
      </c>
      <c r="B693" s="37">
        <v>45574</v>
      </c>
      <c r="C693" s="28">
        <v>45589</v>
      </c>
      <c r="D693" s="29" t="s">
        <v>1995</v>
      </c>
      <c r="E693" s="35">
        <v>21994938847</v>
      </c>
      <c r="F693" s="31" t="s">
        <v>10</v>
      </c>
      <c r="G693" s="33" t="s">
        <v>1231</v>
      </c>
      <c r="H693" s="77" t="s">
        <v>2226</v>
      </c>
      <c r="I693" s="31">
        <f>VLOOKUP(H693,PACOTES!B:E,4,FALSE)</f>
        <v>0</v>
      </c>
      <c r="J693" s="77" t="s">
        <v>134</v>
      </c>
      <c r="K693" s="32">
        <v>3700</v>
      </c>
      <c r="L693" s="32">
        <v>3700</v>
      </c>
      <c r="M693" s="108">
        <v>0</v>
      </c>
      <c r="N693" s="104" t="s">
        <v>2250</v>
      </c>
      <c r="O693" s="104" t="s">
        <v>135</v>
      </c>
      <c r="P693" s="104" t="s">
        <v>135</v>
      </c>
    </row>
    <row r="694" spans="1:16" s="17" customFormat="1">
      <c r="A694" s="57">
        <v>521</v>
      </c>
      <c r="B694" s="37">
        <v>45576</v>
      </c>
      <c r="C694" s="28">
        <v>45601</v>
      </c>
      <c r="D694" s="50" t="s">
        <v>1477</v>
      </c>
      <c r="E694" s="51">
        <v>54984066565</v>
      </c>
      <c r="F694" s="31" t="s">
        <v>9</v>
      </c>
      <c r="G694" s="33" t="s">
        <v>1479</v>
      </c>
      <c r="H694" s="77" t="s">
        <v>2224</v>
      </c>
      <c r="I694" s="31">
        <f>VLOOKUP(H694,PACOTES!B:E,4,FALSE)</f>
        <v>2</v>
      </c>
      <c r="J694" s="77" t="s">
        <v>134</v>
      </c>
      <c r="K694" s="32">
        <v>5100</v>
      </c>
      <c r="L694" s="32">
        <v>5100</v>
      </c>
      <c r="M694" s="108">
        <v>0</v>
      </c>
      <c r="N694" s="32"/>
      <c r="O694" s="32"/>
      <c r="P694" s="32"/>
    </row>
    <row r="695" spans="1:16" s="4" customFormat="1">
      <c r="A695" s="57">
        <v>170</v>
      </c>
      <c r="B695" s="37">
        <v>45579</v>
      </c>
      <c r="C695" s="37">
        <v>45594</v>
      </c>
      <c r="D695" s="29" t="s">
        <v>1700</v>
      </c>
      <c r="E695" s="35">
        <v>21977107854</v>
      </c>
      <c r="F695" s="31" t="s">
        <v>10</v>
      </c>
      <c r="G695" s="33" t="s">
        <v>1551</v>
      </c>
      <c r="H695" s="77" t="s">
        <v>2222</v>
      </c>
      <c r="I695" s="31">
        <f>VLOOKUP(H695,PACOTES!B:E,4,FALSE)</f>
        <v>4</v>
      </c>
      <c r="J695" s="77" t="s">
        <v>134</v>
      </c>
      <c r="K695" s="32">
        <v>4400</v>
      </c>
      <c r="L695" s="32">
        <v>4400</v>
      </c>
      <c r="M695" s="108">
        <v>0</v>
      </c>
      <c r="N695" s="32"/>
      <c r="O695" s="32"/>
      <c r="P695" s="32"/>
    </row>
    <row r="696" spans="1:16" s="4" customFormat="1">
      <c r="A696" s="57">
        <v>354</v>
      </c>
      <c r="B696" s="37">
        <v>45581</v>
      </c>
      <c r="C696" s="28">
        <v>45596</v>
      </c>
      <c r="D696" s="29" t="s">
        <v>1808</v>
      </c>
      <c r="E696" s="35">
        <v>21995902530</v>
      </c>
      <c r="F696" s="31" t="s">
        <v>10</v>
      </c>
      <c r="G696" s="33" t="s">
        <v>1207</v>
      </c>
      <c r="H696" s="77" t="s">
        <v>2222</v>
      </c>
      <c r="I696" s="31">
        <f>VLOOKUP(H696,PACOTES!B:E,4,FALSE)</f>
        <v>4</v>
      </c>
      <c r="J696" s="77" t="s">
        <v>134</v>
      </c>
      <c r="K696" s="32">
        <v>3800</v>
      </c>
      <c r="L696" s="32">
        <v>3800</v>
      </c>
      <c r="M696" s="108">
        <v>0</v>
      </c>
      <c r="N696" s="32"/>
      <c r="O696" s="32"/>
      <c r="P696" s="32"/>
    </row>
    <row r="697" spans="1:16" s="4" customFormat="1">
      <c r="A697" s="57">
        <v>364</v>
      </c>
      <c r="B697" s="37">
        <v>45587</v>
      </c>
      <c r="C697" s="28">
        <v>45602</v>
      </c>
      <c r="D697" s="29" t="s">
        <v>1398</v>
      </c>
      <c r="E697" s="35">
        <v>21996526535</v>
      </c>
      <c r="F697" s="31" t="s">
        <v>10</v>
      </c>
      <c r="G697" s="33" t="s">
        <v>2027</v>
      </c>
      <c r="H697" s="77" t="s">
        <v>2222</v>
      </c>
      <c r="I697" s="31">
        <f>VLOOKUP(H697,PACOTES!B:E,4,FALSE)</f>
        <v>4</v>
      </c>
      <c r="J697" s="77" t="s">
        <v>134</v>
      </c>
      <c r="K697" s="32">
        <v>3900</v>
      </c>
      <c r="L697" s="32">
        <v>3900</v>
      </c>
      <c r="M697" s="108">
        <v>0</v>
      </c>
      <c r="N697" s="32"/>
      <c r="O697" s="32"/>
      <c r="P697" s="32"/>
    </row>
    <row r="698" spans="1:16" s="4" customFormat="1">
      <c r="A698" s="57">
        <v>510</v>
      </c>
      <c r="B698" s="37">
        <v>45593</v>
      </c>
      <c r="C698" s="28">
        <v>45593</v>
      </c>
      <c r="D698" s="29" t="s">
        <v>1439</v>
      </c>
      <c r="E698" s="35">
        <v>45999196434</v>
      </c>
      <c r="F698" s="31" t="s">
        <v>11</v>
      </c>
      <c r="G698" s="31" t="s">
        <v>1316</v>
      </c>
      <c r="H698" s="77" t="s">
        <v>2225</v>
      </c>
      <c r="I698" s="31">
        <f>VLOOKUP(H698,PACOTES!B:E,4,FALSE)</f>
        <v>1</v>
      </c>
      <c r="J698" s="77" t="s">
        <v>134</v>
      </c>
      <c r="K698" s="32">
        <v>2650</v>
      </c>
      <c r="L698" s="32">
        <v>2650</v>
      </c>
      <c r="M698" s="108">
        <v>0</v>
      </c>
      <c r="N698" s="32"/>
      <c r="O698" s="32"/>
      <c r="P698" s="32"/>
    </row>
    <row r="699" spans="1:16" s="4" customFormat="1">
      <c r="A699" s="57">
        <v>564</v>
      </c>
      <c r="B699" s="37">
        <v>45593</v>
      </c>
      <c r="C699" s="37">
        <v>45608</v>
      </c>
      <c r="D699" s="29" t="s">
        <v>2200</v>
      </c>
      <c r="E699" s="30">
        <v>21980739633</v>
      </c>
      <c r="F699" s="31" t="s">
        <v>10</v>
      </c>
      <c r="G699" s="33" t="s">
        <v>1502</v>
      </c>
      <c r="H699" s="77" t="s">
        <v>2222</v>
      </c>
      <c r="I699" s="31">
        <f>VLOOKUP(H699,PACOTES!B:E,4,FALSE)</f>
        <v>4</v>
      </c>
      <c r="J699" s="77" t="s">
        <v>134</v>
      </c>
      <c r="K699" s="32">
        <v>4200</v>
      </c>
      <c r="L699" s="32">
        <v>4200</v>
      </c>
      <c r="M699" s="108">
        <v>0</v>
      </c>
      <c r="N699" s="32"/>
      <c r="O699" s="32"/>
      <c r="P699" s="32"/>
    </row>
    <row r="700" spans="1:16" s="4" customFormat="1">
      <c r="A700" s="57">
        <v>564</v>
      </c>
      <c r="B700" s="37">
        <v>45593</v>
      </c>
      <c r="C700" s="28">
        <v>45608</v>
      </c>
      <c r="D700" s="29" t="s">
        <v>2200</v>
      </c>
      <c r="E700" s="30">
        <v>21980739633</v>
      </c>
      <c r="F700" s="31" t="s">
        <v>10</v>
      </c>
      <c r="G700" s="33" t="s">
        <v>1371</v>
      </c>
      <c r="H700" s="77" t="s">
        <v>2222</v>
      </c>
      <c r="I700" s="31">
        <f>VLOOKUP(H700,PACOTES!B:E,4,FALSE)</f>
        <v>4</v>
      </c>
      <c r="J700" s="77" t="s">
        <v>134</v>
      </c>
      <c r="K700" s="32">
        <v>4200</v>
      </c>
      <c r="L700" s="32">
        <v>4200</v>
      </c>
      <c r="M700" s="108">
        <v>0</v>
      </c>
      <c r="N700" s="32"/>
      <c r="O700" s="32"/>
      <c r="P700" s="32"/>
    </row>
    <row r="701" spans="1:16" s="4" customFormat="1">
      <c r="A701" s="57">
        <v>51</v>
      </c>
      <c r="B701" s="37">
        <v>45594</v>
      </c>
      <c r="C701" s="28">
        <v>45609</v>
      </c>
      <c r="D701" s="29" t="s">
        <v>1395</v>
      </c>
      <c r="E701" s="35">
        <v>21964972602</v>
      </c>
      <c r="F701" s="31" t="s">
        <v>10</v>
      </c>
      <c r="G701" s="33" t="s">
        <v>1207</v>
      </c>
      <c r="H701" s="77" t="s">
        <v>2222</v>
      </c>
      <c r="I701" s="31">
        <f>VLOOKUP(H701,PACOTES!B:E,4,FALSE)</f>
        <v>4</v>
      </c>
      <c r="J701" s="77" t="s">
        <v>134</v>
      </c>
      <c r="K701" s="32">
        <v>3600</v>
      </c>
      <c r="L701" s="32">
        <v>3600</v>
      </c>
      <c r="M701" s="108">
        <v>0</v>
      </c>
      <c r="N701" s="32"/>
      <c r="O701" s="32"/>
      <c r="P701" s="32"/>
    </row>
    <row r="702" spans="1:16" s="4" customFormat="1">
      <c r="A702" s="57">
        <v>512</v>
      </c>
      <c r="B702" s="37">
        <v>45594</v>
      </c>
      <c r="C702" s="28">
        <v>45609</v>
      </c>
      <c r="D702" s="29" t="s">
        <v>1445</v>
      </c>
      <c r="E702" s="35">
        <v>47988649178</v>
      </c>
      <c r="F702" s="31" t="s">
        <v>10</v>
      </c>
      <c r="G702" s="33" t="s">
        <v>1446</v>
      </c>
      <c r="H702" s="77" t="s">
        <v>2223</v>
      </c>
      <c r="I702" s="31">
        <f>VLOOKUP(H702,PACOTES!B:E,4,FALSE)</f>
        <v>3</v>
      </c>
      <c r="J702" s="77" t="s">
        <v>134</v>
      </c>
      <c r="K702" s="32">
        <v>4050</v>
      </c>
      <c r="L702" s="32">
        <v>4050</v>
      </c>
      <c r="M702" s="108">
        <v>0</v>
      </c>
      <c r="N702" s="32"/>
      <c r="O702" s="32"/>
      <c r="P702" s="32"/>
    </row>
    <row r="703" spans="1:16" s="4" customFormat="1">
      <c r="A703" s="57">
        <v>293</v>
      </c>
      <c r="B703" s="37">
        <v>45594</v>
      </c>
      <c r="C703" s="28">
        <v>45596</v>
      </c>
      <c r="D703" s="29" t="s">
        <v>1223</v>
      </c>
      <c r="E703" s="35">
        <v>21988782989</v>
      </c>
      <c r="F703" s="31" t="s">
        <v>11</v>
      </c>
      <c r="G703" s="31" t="s">
        <v>1798</v>
      </c>
      <c r="H703" s="77" t="s">
        <v>2222</v>
      </c>
      <c r="I703" s="31">
        <f>VLOOKUP(H703,PACOTES!B:E,4,FALSE)</f>
        <v>4</v>
      </c>
      <c r="J703" s="77" t="s">
        <v>134</v>
      </c>
      <c r="K703" s="32">
        <v>2700</v>
      </c>
      <c r="L703" s="32">
        <v>2700</v>
      </c>
      <c r="M703" s="108">
        <v>0</v>
      </c>
      <c r="N703" s="32"/>
      <c r="O703" s="32"/>
      <c r="P703" s="32"/>
    </row>
    <row r="704" spans="1:16" s="4" customFormat="1">
      <c r="A704" s="57">
        <v>109</v>
      </c>
      <c r="B704" s="37">
        <v>45597</v>
      </c>
      <c r="C704" s="28">
        <v>45622</v>
      </c>
      <c r="D704" s="29" t="s">
        <v>1600</v>
      </c>
      <c r="E704" s="35">
        <v>21970285042</v>
      </c>
      <c r="F704" s="31" t="s">
        <v>9</v>
      </c>
      <c r="G704" s="31" t="s">
        <v>1602</v>
      </c>
      <c r="H704" s="77" t="s">
        <v>2224</v>
      </c>
      <c r="I704" s="31">
        <f>VLOOKUP(H704,PACOTES!B:E,4,FALSE)</f>
        <v>2</v>
      </c>
      <c r="J704" s="77" t="s">
        <v>134</v>
      </c>
      <c r="K704" s="32">
        <v>5300</v>
      </c>
      <c r="L704" s="32">
        <v>5300</v>
      </c>
      <c r="M704" s="108">
        <v>0</v>
      </c>
      <c r="N704" s="32"/>
      <c r="O704" s="32"/>
      <c r="P704" s="32"/>
    </row>
    <row r="705" spans="1:16" s="4" customFormat="1">
      <c r="A705" s="57">
        <v>565</v>
      </c>
      <c r="B705" s="37">
        <v>45598</v>
      </c>
      <c r="C705" s="28">
        <v>45623</v>
      </c>
      <c r="D705" s="29" t="s">
        <v>2201</v>
      </c>
      <c r="E705" s="30">
        <v>21964591341</v>
      </c>
      <c r="F705" s="31" t="s">
        <v>9</v>
      </c>
      <c r="G705" s="31" t="s">
        <v>2202</v>
      </c>
      <c r="H705" s="77" t="s">
        <v>2223</v>
      </c>
      <c r="I705" s="31">
        <f>VLOOKUP(H705,PACOTES!B:E,4,FALSE)</f>
        <v>3</v>
      </c>
      <c r="J705" s="77" t="s">
        <v>134</v>
      </c>
      <c r="K705" s="32">
        <v>5500</v>
      </c>
      <c r="L705" s="32">
        <v>5500</v>
      </c>
      <c r="M705" s="108">
        <v>0</v>
      </c>
      <c r="N705" s="32"/>
      <c r="O705" s="32"/>
      <c r="P705" s="32"/>
    </row>
    <row r="706" spans="1:16" s="4" customFormat="1">
      <c r="A706" s="57">
        <v>393</v>
      </c>
      <c r="B706" s="37">
        <v>45600</v>
      </c>
      <c r="C706" s="28">
        <v>45615</v>
      </c>
      <c r="D706" s="29" t="s">
        <v>2061</v>
      </c>
      <c r="E706" s="35">
        <v>21998792324</v>
      </c>
      <c r="F706" s="31" t="s">
        <v>10</v>
      </c>
      <c r="G706" s="33" t="s">
        <v>1207</v>
      </c>
      <c r="H706" s="77" t="s">
        <v>2223</v>
      </c>
      <c r="I706" s="31">
        <f>VLOOKUP(H706,PACOTES!B:E,4,FALSE)</f>
        <v>3</v>
      </c>
      <c r="J706" s="77" t="s">
        <v>134</v>
      </c>
      <c r="K706" s="32">
        <v>3900</v>
      </c>
      <c r="L706" s="32">
        <v>3900</v>
      </c>
      <c r="M706" s="108">
        <v>0</v>
      </c>
      <c r="N706" s="32"/>
      <c r="O706" s="32"/>
      <c r="P706" s="32"/>
    </row>
    <row r="707" spans="1:16" s="4" customFormat="1">
      <c r="A707" s="57">
        <v>318</v>
      </c>
      <c r="B707" s="37">
        <v>45601</v>
      </c>
      <c r="C707" s="28">
        <v>45616</v>
      </c>
      <c r="D707" s="29" t="s">
        <v>1956</v>
      </c>
      <c r="E707" s="35">
        <v>21992193470</v>
      </c>
      <c r="F707" s="31" t="s">
        <v>10</v>
      </c>
      <c r="G707" s="33" t="s">
        <v>1957</v>
      </c>
      <c r="H707" s="77" t="s">
        <v>2223</v>
      </c>
      <c r="I707" s="31">
        <f>VLOOKUP(H707,PACOTES!B:E,4,FALSE)</f>
        <v>3</v>
      </c>
      <c r="J707" s="77" t="s">
        <v>134</v>
      </c>
      <c r="K707" s="32">
        <v>3850</v>
      </c>
      <c r="L707" s="32">
        <v>3850</v>
      </c>
      <c r="M707" s="108">
        <v>0</v>
      </c>
      <c r="N707" s="32"/>
      <c r="O707" s="32"/>
      <c r="P707" s="32"/>
    </row>
    <row r="708" spans="1:16" s="4" customFormat="1">
      <c r="A708" s="57">
        <v>423</v>
      </c>
      <c r="B708" s="37">
        <v>45601</v>
      </c>
      <c r="C708" s="28">
        <v>45616</v>
      </c>
      <c r="D708" s="29" t="s">
        <v>2065</v>
      </c>
      <c r="E708" s="35">
        <v>22998357094</v>
      </c>
      <c r="F708" s="31" t="s">
        <v>10</v>
      </c>
      <c r="G708" s="33" t="s">
        <v>1207</v>
      </c>
      <c r="H708" s="77" t="s">
        <v>2223</v>
      </c>
      <c r="I708" s="31">
        <f>VLOOKUP(H708,PACOTES!B:E,4,FALSE)</f>
        <v>3</v>
      </c>
      <c r="J708" s="77" t="s">
        <v>134</v>
      </c>
      <c r="K708" s="32">
        <v>3700</v>
      </c>
      <c r="L708" s="32">
        <v>3700</v>
      </c>
      <c r="M708" s="108">
        <v>0</v>
      </c>
      <c r="N708" s="32"/>
      <c r="O708" s="32"/>
      <c r="P708" s="32"/>
    </row>
    <row r="709" spans="1:16" s="4" customFormat="1">
      <c r="A709" s="57">
        <v>423</v>
      </c>
      <c r="B709" s="37">
        <v>45601</v>
      </c>
      <c r="C709" s="28">
        <v>45616</v>
      </c>
      <c r="D709" s="29" t="s">
        <v>2065</v>
      </c>
      <c r="E709" s="35">
        <v>22998357094</v>
      </c>
      <c r="F709" s="31" t="s">
        <v>10</v>
      </c>
      <c r="G709" s="33" t="s">
        <v>1207</v>
      </c>
      <c r="H709" s="77" t="s">
        <v>2223</v>
      </c>
      <c r="I709" s="31">
        <f>VLOOKUP(H709,PACOTES!B:E,4,FALSE)</f>
        <v>3</v>
      </c>
      <c r="J709" s="77" t="s">
        <v>134</v>
      </c>
      <c r="K709" s="32">
        <v>3700</v>
      </c>
      <c r="L709" s="32">
        <v>3700</v>
      </c>
      <c r="M709" s="108">
        <v>0</v>
      </c>
      <c r="N709" s="32"/>
      <c r="O709" s="32"/>
      <c r="P709" s="32"/>
    </row>
    <row r="710" spans="1:16" s="4" customFormat="1">
      <c r="A710" s="57">
        <v>266</v>
      </c>
      <c r="B710" s="37">
        <v>45604</v>
      </c>
      <c r="C710" s="28">
        <v>45619</v>
      </c>
      <c r="D710" s="29" t="s">
        <v>1866</v>
      </c>
      <c r="E710" s="35">
        <v>21986314226</v>
      </c>
      <c r="F710" s="31" t="s">
        <v>10</v>
      </c>
      <c r="G710" s="31" t="s">
        <v>1867</v>
      </c>
      <c r="H710" s="31" t="s">
        <v>2226</v>
      </c>
      <c r="I710" s="31">
        <f>VLOOKUP(H710,PACOTES!B:E,4,FALSE)</f>
        <v>0</v>
      </c>
      <c r="J710" s="77" t="s">
        <v>134</v>
      </c>
      <c r="K710" s="32">
        <v>4400</v>
      </c>
      <c r="L710" s="32">
        <v>4400</v>
      </c>
      <c r="M710" s="108">
        <v>0</v>
      </c>
      <c r="N710" s="32"/>
      <c r="O710" s="32"/>
      <c r="P710" s="32"/>
    </row>
    <row r="711" spans="1:16" s="4" customFormat="1">
      <c r="A711" s="57">
        <v>245</v>
      </c>
      <c r="B711" s="37">
        <v>45607</v>
      </c>
      <c r="C711" s="28">
        <v>45622</v>
      </c>
      <c r="D711" s="29" t="s">
        <v>1831</v>
      </c>
      <c r="E711" s="30">
        <v>21983754247</v>
      </c>
      <c r="F711" s="31" t="s">
        <v>10</v>
      </c>
      <c r="G711" s="31" t="s">
        <v>1968</v>
      </c>
      <c r="H711" s="77" t="s">
        <v>2223</v>
      </c>
      <c r="I711" s="31">
        <f>VLOOKUP(H711,PACOTES!B:E,4,FALSE)</f>
        <v>3</v>
      </c>
      <c r="J711" s="77" t="s">
        <v>134</v>
      </c>
      <c r="K711" s="32">
        <v>4400</v>
      </c>
      <c r="L711" s="32">
        <v>4400</v>
      </c>
      <c r="M711" s="108">
        <v>0</v>
      </c>
      <c r="N711" s="32"/>
      <c r="O711" s="32"/>
      <c r="P711" s="32"/>
    </row>
    <row r="712" spans="1:16" s="4" customFormat="1">
      <c r="A712" s="57">
        <v>39</v>
      </c>
      <c r="B712" s="37">
        <v>45608</v>
      </c>
      <c r="C712" s="28">
        <v>45633</v>
      </c>
      <c r="D712" s="29" t="s">
        <v>1338</v>
      </c>
      <c r="E712" s="35">
        <v>21964646611</v>
      </c>
      <c r="F712" s="31" t="s">
        <v>9</v>
      </c>
      <c r="G712" s="31" t="s">
        <v>1339</v>
      </c>
      <c r="H712" s="77" t="s">
        <v>2223</v>
      </c>
      <c r="I712" s="31">
        <f>VLOOKUP(H712,PACOTES!B:E,4,FALSE)</f>
        <v>3</v>
      </c>
      <c r="J712" s="77" t="s">
        <v>134</v>
      </c>
      <c r="K712" s="32">
        <v>5300</v>
      </c>
      <c r="L712" s="32">
        <v>5300</v>
      </c>
      <c r="M712" s="108">
        <v>0</v>
      </c>
      <c r="N712" s="32"/>
      <c r="O712" s="32"/>
      <c r="P712" s="32"/>
    </row>
    <row r="713" spans="1:16" s="4" customFormat="1">
      <c r="A713" s="57">
        <v>488</v>
      </c>
      <c r="B713" s="37">
        <v>45608</v>
      </c>
      <c r="C713" s="28">
        <v>45609</v>
      </c>
      <c r="D713" s="29" t="s">
        <v>1344</v>
      </c>
      <c r="E713" s="35">
        <v>31983317106</v>
      </c>
      <c r="F713" s="31" t="s">
        <v>11</v>
      </c>
      <c r="G713" s="31" t="s">
        <v>1345</v>
      </c>
      <c r="H713" s="77" t="s">
        <v>2222</v>
      </c>
      <c r="I713" s="31">
        <f>VLOOKUP(H713,PACOTES!B:E,4,FALSE)</f>
        <v>4</v>
      </c>
      <c r="J713" s="77" t="s">
        <v>419</v>
      </c>
      <c r="K713" s="32">
        <v>2400</v>
      </c>
      <c r="L713" s="32">
        <v>2400</v>
      </c>
      <c r="M713" s="108">
        <v>0</v>
      </c>
      <c r="N713" s="32"/>
      <c r="O713" s="32"/>
      <c r="P713" s="32"/>
    </row>
    <row r="714" spans="1:16" s="20" customFormat="1">
      <c r="A714" s="57">
        <v>328</v>
      </c>
      <c r="B714" s="37">
        <v>45608</v>
      </c>
      <c r="C714" s="28">
        <v>45609</v>
      </c>
      <c r="D714" s="29" t="s">
        <v>1973</v>
      </c>
      <c r="E714" s="35">
        <v>21993032403</v>
      </c>
      <c r="F714" s="31" t="s">
        <v>11</v>
      </c>
      <c r="G714" s="31" t="s">
        <v>1469</v>
      </c>
      <c r="H714" s="77" t="s">
        <v>2222</v>
      </c>
      <c r="I714" s="31">
        <f>VLOOKUP(H714,PACOTES!B:E,4,FALSE)</f>
        <v>4</v>
      </c>
      <c r="J714" s="77" t="s">
        <v>419</v>
      </c>
      <c r="K714" s="32">
        <v>2352.2399999999998</v>
      </c>
      <c r="L714" s="32">
        <v>2352.2399999999998</v>
      </c>
      <c r="M714" s="108">
        <v>0</v>
      </c>
      <c r="N714" s="32"/>
      <c r="O714" s="32"/>
      <c r="P714" s="32"/>
    </row>
    <row r="715" spans="1:16" s="4" customFormat="1">
      <c r="A715" s="57">
        <v>48</v>
      </c>
      <c r="B715" s="37">
        <v>45615</v>
      </c>
      <c r="C715" s="28">
        <v>45630</v>
      </c>
      <c r="D715" s="29" t="s">
        <v>1383</v>
      </c>
      <c r="E715" s="54">
        <v>21964887387</v>
      </c>
      <c r="F715" s="31" t="s">
        <v>10</v>
      </c>
      <c r="G715" s="33" t="s">
        <v>1384</v>
      </c>
      <c r="H715" s="77" t="s">
        <v>2223</v>
      </c>
      <c r="I715" s="31">
        <f>VLOOKUP(H715,PACOTES!B:E,4,FALSE)</f>
        <v>3</v>
      </c>
      <c r="J715" s="77" t="s">
        <v>134</v>
      </c>
      <c r="K715" s="32">
        <v>3700</v>
      </c>
      <c r="L715" s="32">
        <v>3700</v>
      </c>
      <c r="M715" s="108">
        <v>0</v>
      </c>
      <c r="N715" s="32"/>
      <c r="O715" s="32"/>
      <c r="P715" s="32"/>
    </row>
    <row r="716" spans="1:16" s="4" customFormat="1">
      <c r="A716" s="57">
        <v>48</v>
      </c>
      <c r="B716" s="37">
        <v>45615</v>
      </c>
      <c r="C716" s="28">
        <v>45630</v>
      </c>
      <c r="D716" s="29" t="s">
        <v>1383</v>
      </c>
      <c r="E716" s="54">
        <v>21964887387</v>
      </c>
      <c r="F716" s="31" t="s">
        <v>7</v>
      </c>
      <c r="G716" s="33" t="s">
        <v>1385</v>
      </c>
      <c r="H716" s="77" t="s">
        <v>2214</v>
      </c>
      <c r="I716" s="31"/>
      <c r="J716" s="77" t="s">
        <v>2214</v>
      </c>
      <c r="K716" s="32">
        <v>2800</v>
      </c>
      <c r="L716" s="32">
        <v>2800</v>
      </c>
      <c r="M716" s="108">
        <v>0</v>
      </c>
      <c r="N716" s="104" t="s">
        <v>2214</v>
      </c>
      <c r="O716" s="32"/>
      <c r="P716" s="32"/>
    </row>
    <row r="717" spans="1:16" s="4" customFormat="1">
      <c r="A717" s="57">
        <v>70</v>
      </c>
      <c r="B717" s="37">
        <v>45615</v>
      </c>
      <c r="C717" s="37">
        <v>45618</v>
      </c>
      <c r="D717" s="29" t="s">
        <v>1468</v>
      </c>
      <c r="E717" s="35">
        <v>21967053514</v>
      </c>
      <c r="F717" s="31" t="s">
        <v>11</v>
      </c>
      <c r="G717" s="31" t="s">
        <v>1469</v>
      </c>
      <c r="H717" s="77" t="s">
        <v>2223</v>
      </c>
      <c r="I717" s="31">
        <f>VLOOKUP(H717,PACOTES!B:E,4,FALSE)</f>
        <v>3</v>
      </c>
      <c r="J717" s="77" t="s">
        <v>419</v>
      </c>
      <c r="K717" s="32">
        <v>2182.1</v>
      </c>
      <c r="L717" s="32">
        <v>2182.1</v>
      </c>
      <c r="M717" s="108">
        <v>0</v>
      </c>
      <c r="N717" s="32"/>
      <c r="O717" s="32"/>
      <c r="P717" s="32"/>
    </row>
    <row r="718" spans="1:16" s="4" customFormat="1">
      <c r="A718" s="57">
        <v>94</v>
      </c>
      <c r="B718" s="37">
        <v>45615</v>
      </c>
      <c r="C718" s="37">
        <v>45618</v>
      </c>
      <c r="D718" s="29" t="s">
        <v>1550</v>
      </c>
      <c r="E718" s="35">
        <v>21969830022</v>
      </c>
      <c r="F718" s="31" t="s">
        <v>10</v>
      </c>
      <c r="G718" s="31" t="s">
        <v>1551</v>
      </c>
      <c r="H718" s="77" t="s">
        <v>2222</v>
      </c>
      <c r="I718" s="31">
        <f>VLOOKUP(H718,PACOTES!B:E,4,FALSE)</f>
        <v>4</v>
      </c>
      <c r="J718" s="77" t="s">
        <v>134</v>
      </c>
      <c r="K718" s="32">
        <v>4400</v>
      </c>
      <c r="L718" s="32">
        <v>4400</v>
      </c>
      <c r="M718" s="108">
        <v>0</v>
      </c>
      <c r="N718" s="32"/>
      <c r="O718" s="32"/>
      <c r="P718" s="32"/>
    </row>
    <row r="719" spans="1:16" s="4" customFormat="1">
      <c r="A719" s="57">
        <v>426</v>
      </c>
      <c r="B719" s="37">
        <v>45615</v>
      </c>
      <c r="C719" s="28">
        <v>45609</v>
      </c>
      <c r="D719" s="29" t="s">
        <v>2101</v>
      </c>
      <c r="E719" s="35">
        <v>22999137408</v>
      </c>
      <c r="F719" s="31" t="s">
        <v>11</v>
      </c>
      <c r="G719" s="31" t="s">
        <v>2102</v>
      </c>
      <c r="H719" s="77" t="s">
        <v>2222</v>
      </c>
      <c r="I719" s="31">
        <f>VLOOKUP(H719,PACOTES!B:E,4,FALSE)</f>
        <v>4</v>
      </c>
      <c r="J719" s="77" t="s">
        <v>134</v>
      </c>
      <c r="K719" s="32">
        <v>3234.33</v>
      </c>
      <c r="L719" s="32">
        <v>3234.33</v>
      </c>
      <c r="M719" s="108">
        <v>0</v>
      </c>
      <c r="N719" s="32"/>
      <c r="O719" s="32"/>
      <c r="P719" s="32"/>
    </row>
    <row r="720" spans="1:16" s="4" customFormat="1">
      <c r="A720" s="57">
        <v>377</v>
      </c>
      <c r="B720" s="37">
        <v>45617</v>
      </c>
      <c r="C720" s="28">
        <v>45632</v>
      </c>
      <c r="D720" s="29" t="s">
        <v>1429</v>
      </c>
      <c r="E720" s="35">
        <v>21997254914</v>
      </c>
      <c r="F720" s="31" t="s">
        <v>10</v>
      </c>
      <c r="G720" s="31" t="s">
        <v>1551</v>
      </c>
      <c r="H720" s="77" t="s">
        <v>2222</v>
      </c>
      <c r="I720" s="31">
        <f>VLOOKUP(H720,PACOTES!B:E,4,FALSE)</f>
        <v>4</v>
      </c>
      <c r="J720" s="77" t="s">
        <v>134</v>
      </c>
      <c r="K720" s="32">
        <v>4400</v>
      </c>
      <c r="L720" s="32">
        <v>4400</v>
      </c>
      <c r="M720" s="108">
        <v>0</v>
      </c>
      <c r="N720" s="32"/>
      <c r="O720" s="32"/>
      <c r="P720" s="32"/>
    </row>
    <row r="721" spans="1:16" s="4" customFormat="1">
      <c r="A721" s="57">
        <v>377</v>
      </c>
      <c r="B721" s="37">
        <v>45617</v>
      </c>
      <c r="C721" s="28">
        <v>45632</v>
      </c>
      <c r="D721" s="29" t="s">
        <v>1429</v>
      </c>
      <c r="E721" s="35">
        <v>21997254914</v>
      </c>
      <c r="F721" s="31" t="s">
        <v>10</v>
      </c>
      <c r="G721" s="31" t="s">
        <v>1551</v>
      </c>
      <c r="H721" s="77" t="s">
        <v>2222</v>
      </c>
      <c r="I721" s="31">
        <f>VLOOKUP(H721,PACOTES!B:E,4,FALSE)</f>
        <v>4</v>
      </c>
      <c r="J721" s="77" t="s">
        <v>134</v>
      </c>
      <c r="K721" s="32">
        <v>4400</v>
      </c>
      <c r="L721" s="32">
        <v>4400</v>
      </c>
      <c r="M721" s="108">
        <v>0</v>
      </c>
      <c r="N721" s="32"/>
      <c r="O721" s="32"/>
      <c r="P721" s="32"/>
    </row>
    <row r="722" spans="1:16" s="4" customFormat="1">
      <c r="A722" s="57">
        <v>78</v>
      </c>
      <c r="B722" s="37">
        <v>45619</v>
      </c>
      <c r="C722" s="28">
        <v>45619</v>
      </c>
      <c r="D722" s="29" t="s">
        <v>1289</v>
      </c>
      <c r="E722" s="35">
        <v>21968037373</v>
      </c>
      <c r="F722" s="31" t="s">
        <v>10</v>
      </c>
      <c r="G722" s="31" t="s">
        <v>1495</v>
      </c>
      <c r="H722" s="77" t="s">
        <v>2223</v>
      </c>
      <c r="I722" s="31">
        <f>VLOOKUP(H722,PACOTES!B:E,4,FALSE)</f>
        <v>3</v>
      </c>
      <c r="J722" s="77" t="s">
        <v>419</v>
      </c>
      <c r="K722" s="32">
        <v>0</v>
      </c>
      <c r="L722" s="32">
        <v>0</v>
      </c>
      <c r="M722" s="108">
        <v>0</v>
      </c>
      <c r="N722" s="32"/>
      <c r="O722" s="32"/>
      <c r="P722" s="32"/>
    </row>
    <row r="723" spans="1:16" s="4" customFormat="1">
      <c r="A723" s="57">
        <v>434</v>
      </c>
      <c r="B723" s="37">
        <v>45622</v>
      </c>
      <c r="C723" s="28">
        <v>45637</v>
      </c>
      <c r="D723" s="29" t="s">
        <v>1813</v>
      </c>
      <c r="E723" s="35">
        <v>24981434365</v>
      </c>
      <c r="F723" s="31" t="s">
        <v>10</v>
      </c>
      <c r="G723" s="33" t="s">
        <v>2203</v>
      </c>
      <c r="H723" s="77" t="s">
        <v>2223</v>
      </c>
      <c r="I723" s="31">
        <f>VLOOKUP(H723,PACOTES!B:E,4,FALSE)</f>
        <v>3</v>
      </c>
      <c r="J723" s="77" t="s">
        <v>134</v>
      </c>
      <c r="K723" s="32">
        <v>3900</v>
      </c>
      <c r="L723" s="32">
        <v>3900</v>
      </c>
      <c r="M723" s="108">
        <v>0</v>
      </c>
      <c r="N723" s="32"/>
      <c r="O723" s="32"/>
      <c r="P723" s="32"/>
    </row>
    <row r="724" spans="1:16" s="4" customFormat="1">
      <c r="A724" s="57">
        <v>242</v>
      </c>
      <c r="B724" s="37">
        <v>45623</v>
      </c>
      <c r="C724" s="28">
        <v>45631</v>
      </c>
      <c r="D724" s="29" t="s">
        <v>1313</v>
      </c>
      <c r="E724" s="35">
        <v>21983540131</v>
      </c>
      <c r="F724" s="31" t="s">
        <v>11</v>
      </c>
      <c r="G724" s="31" t="s">
        <v>11</v>
      </c>
      <c r="H724" s="77" t="s">
        <v>2224</v>
      </c>
      <c r="I724" s="31">
        <f>VLOOKUP(H724,PACOTES!B:E,4,FALSE)</f>
        <v>2</v>
      </c>
      <c r="J724" s="77" t="s">
        <v>134</v>
      </c>
      <c r="K724" s="32">
        <v>2700</v>
      </c>
      <c r="L724" s="32">
        <v>2700</v>
      </c>
      <c r="M724" s="108">
        <v>0</v>
      </c>
      <c r="N724" s="32"/>
      <c r="O724" s="32"/>
      <c r="P724" s="32"/>
    </row>
    <row r="725" spans="1:16" s="4" customFormat="1">
      <c r="A725" s="57">
        <v>242</v>
      </c>
      <c r="B725" s="37">
        <v>45623</v>
      </c>
      <c r="C725" s="28">
        <v>45631</v>
      </c>
      <c r="D725" s="29" t="s">
        <v>1313</v>
      </c>
      <c r="E725" s="35">
        <v>21983540131</v>
      </c>
      <c r="F725" s="31" t="s">
        <v>11</v>
      </c>
      <c r="G725" s="31" t="s">
        <v>1316</v>
      </c>
      <c r="H725" s="77" t="s">
        <v>2224</v>
      </c>
      <c r="I725" s="31">
        <f>VLOOKUP(H725,PACOTES!B:E,4,FALSE)</f>
        <v>2</v>
      </c>
      <c r="J725" s="77" t="s">
        <v>134</v>
      </c>
      <c r="K725" s="32">
        <v>2700</v>
      </c>
      <c r="L725" s="32">
        <v>2700</v>
      </c>
      <c r="M725" s="108">
        <v>0</v>
      </c>
      <c r="N725" s="32"/>
      <c r="O725" s="32"/>
      <c r="P725" s="32"/>
    </row>
    <row r="726" spans="1:16" s="4" customFormat="1">
      <c r="A726" s="57">
        <v>308</v>
      </c>
      <c r="B726" s="37">
        <v>45623</v>
      </c>
      <c r="C726" s="28">
        <v>45623</v>
      </c>
      <c r="D726" s="29" t="s">
        <v>1941</v>
      </c>
      <c r="E726" s="54">
        <v>21991401441</v>
      </c>
      <c r="F726" s="31" t="s">
        <v>10</v>
      </c>
      <c r="G726" s="33" t="s">
        <v>1942</v>
      </c>
      <c r="H726" s="77" t="s">
        <v>2223</v>
      </c>
      <c r="I726" s="31">
        <f>VLOOKUP(H726,PACOTES!B:E,4,FALSE)</f>
        <v>3</v>
      </c>
      <c r="J726" s="77" t="s">
        <v>134</v>
      </c>
      <c r="K726" s="32">
        <v>4200</v>
      </c>
      <c r="L726" s="32">
        <v>4200</v>
      </c>
      <c r="M726" s="108">
        <v>0</v>
      </c>
      <c r="N726" s="32"/>
      <c r="O726" s="32"/>
      <c r="P726" s="32"/>
    </row>
    <row r="727" spans="1:16" s="4" customFormat="1">
      <c r="A727" s="57">
        <v>209</v>
      </c>
      <c r="B727" s="37">
        <v>45625</v>
      </c>
      <c r="C727" s="28">
        <v>45625</v>
      </c>
      <c r="D727" s="29" t="s">
        <v>1387</v>
      </c>
      <c r="E727" s="35">
        <v>21981658296</v>
      </c>
      <c r="F727" s="31" t="s">
        <v>10</v>
      </c>
      <c r="G727" s="31" t="s">
        <v>1764</v>
      </c>
      <c r="H727" s="77" t="s">
        <v>2224</v>
      </c>
      <c r="I727" s="31">
        <f>VLOOKUP(H727,PACOTES!B:E,4,FALSE)</f>
        <v>2</v>
      </c>
      <c r="J727" s="77" t="s">
        <v>134</v>
      </c>
      <c r="K727" s="32">
        <v>4100</v>
      </c>
      <c r="L727" s="32">
        <v>4100</v>
      </c>
      <c r="M727" s="108">
        <v>0</v>
      </c>
      <c r="N727" s="32"/>
      <c r="O727" s="32"/>
      <c r="P727" s="32"/>
    </row>
    <row r="728" spans="1:16" s="4" customFormat="1">
      <c r="A728" s="57">
        <v>55</v>
      </c>
      <c r="B728" s="37">
        <v>45628</v>
      </c>
      <c r="C728" s="28">
        <v>45633</v>
      </c>
      <c r="D728" s="29" t="s">
        <v>2204</v>
      </c>
      <c r="E728" s="30">
        <v>21965223908</v>
      </c>
      <c r="F728" s="31" t="s">
        <v>10</v>
      </c>
      <c r="G728" s="31" t="s">
        <v>1231</v>
      </c>
      <c r="H728" s="77" t="s">
        <v>2223</v>
      </c>
      <c r="I728" s="31">
        <f>VLOOKUP(H728,PACOTES!B:E,4,FALSE)</f>
        <v>3</v>
      </c>
      <c r="J728" s="77" t="s">
        <v>134</v>
      </c>
      <c r="K728" s="32">
        <v>3900</v>
      </c>
      <c r="L728" s="32">
        <v>3900</v>
      </c>
      <c r="M728" s="108">
        <v>0</v>
      </c>
      <c r="N728" s="32"/>
      <c r="O728" s="32"/>
      <c r="P728" s="32"/>
    </row>
    <row r="729" spans="1:16" s="4" customFormat="1">
      <c r="A729" s="57">
        <v>20</v>
      </c>
      <c r="B729" s="37">
        <v>45629</v>
      </c>
      <c r="C729" s="28">
        <v>45642</v>
      </c>
      <c r="D729" s="29" t="s">
        <v>1261</v>
      </c>
      <c r="E729" s="35">
        <v>21964253861</v>
      </c>
      <c r="F729" s="31" t="s">
        <v>10</v>
      </c>
      <c r="G729" s="31" t="s">
        <v>1262</v>
      </c>
      <c r="H729" s="77" t="s">
        <v>2223</v>
      </c>
      <c r="I729" s="31">
        <f>VLOOKUP(H729,PACOTES!B:E,4,FALSE)</f>
        <v>3</v>
      </c>
      <c r="J729" s="77" t="s">
        <v>134</v>
      </c>
      <c r="K729" s="32">
        <v>4200</v>
      </c>
      <c r="L729" s="32">
        <v>4200</v>
      </c>
      <c r="M729" s="108">
        <v>0</v>
      </c>
      <c r="N729" s="32"/>
      <c r="O729" s="32"/>
      <c r="P729" s="32"/>
    </row>
    <row r="730" spans="1:16" s="4" customFormat="1">
      <c r="A730" s="57">
        <v>342</v>
      </c>
      <c r="B730" s="37">
        <v>45630</v>
      </c>
      <c r="C730" s="28">
        <v>45656</v>
      </c>
      <c r="D730" s="29" t="s">
        <v>1995</v>
      </c>
      <c r="E730" s="35">
        <v>21994938847</v>
      </c>
      <c r="F730" s="31" t="s">
        <v>10</v>
      </c>
      <c r="G730" s="31" t="s">
        <v>1996</v>
      </c>
      <c r="H730" s="77" t="s">
        <v>2226</v>
      </c>
      <c r="I730" s="31">
        <f>VLOOKUP(H730,PACOTES!B:E,4,FALSE)</f>
        <v>0</v>
      </c>
      <c r="J730" s="77" t="s">
        <v>134</v>
      </c>
      <c r="K730" s="32">
        <v>3700</v>
      </c>
      <c r="L730" s="32">
        <v>3700</v>
      </c>
      <c r="M730" s="108">
        <v>0</v>
      </c>
      <c r="N730" s="104" t="s">
        <v>2251</v>
      </c>
      <c r="O730" s="104" t="s">
        <v>135</v>
      </c>
      <c r="P730" s="104" t="s">
        <v>135</v>
      </c>
    </row>
    <row r="731" spans="1:16" s="4" customFormat="1">
      <c r="A731" s="57">
        <v>366</v>
      </c>
      <c r="B731" s="37">
        <v>45630</v>
      </c>
      <c r="C731" s="28">
        <v>45639</v>
      </c>
      <c r="D731" s="29" t="s">
        <v>1730</v>
      </c>
      <c r="E731" s="35">
        <v>21996584245</v>
      </c>
      <c r="F731" s="31" t="s">
        <v>10</v>
      </c>
      <c r="G731" s="31" t="s">
        <v>2032</v>
      </c>
      <c r="H731" s="77" t="s">
        <v>2224</v>
      </c>
      <c r="I731" s="31">
        <f>VLOOKUP(H731,PACOTES!B:E,4,FALSE)</f>
        <v>2</v>
      </c>
      <c r="J731" s="77" t="s">
        <v>134</v>
      </c>
      <c r="K731" s="32">
        <v>3900</v>
      </c>
      <c r="L731" s="32">
        <v>3900</v>
      </c>
      <c r="M731" s="108">
        <v>0</v>
      </c>
      <c r="N731" s="32"/>
      <c r="O731" s="32"/>
      <c r="P731" s="32"/>
    </row>
    <row r="732" spans="1:16" s="4" customFormat="1">
      <c r="A732" s="57">
        <v>33</v>
      </c>
      <c r="B732" s="37">
        <v>45631</v>
      </c>
      <c r="C732" s="28">
        <v>45650</v>
      </c>
      <c r="D732" s="29" t="s">
        <v>1315</v>
      </c>
      <c r="E732" s="35">
        <v>21964421393</v>
      </c>
      <c r="F732" s="31" t="s">
        <v>11</v>
      </c>
      <c r="G732" s="31" t="s">
        <v>1316</v>
      </c>
      <c r="H732" s="77" t="s">
        <v>2223</v>
      </c>
      <c r="I732" s="31">
        <f>VLOOKUP(H732,PACOTES!B:E,4,FALSE)</f>
        <v>3</v>
      </c>
      <c r="J732" s="77" t="s">
        <v>134</v>
      </c>
      <c r="K732" s="32">
        <v>2900</v>
      </c>
      <c r="L732" s="32">
        <v>2900</v>
      </c>
      <c r="M732" s="108">
        <v>0</v>
      </c>
      <c r="N732" s="32"/>
      <c r="O732" s="32"/>
      <c r="P732" s="32"/>
    </row>
    <row r="733" spans="1:16" s="4" customFormat="1">
      <c r="A733" s="57">
        <v>51</v>
      </c>
      <c r="B733" s="37">
        <v>45631</v>
      </c>
      <c r="C733" s="28">
        <v>45639</v>
      </c>
      <c r="D733" s="29" t="s">
        <v>1395</v>
      </c>
      <c r="E733" s="35">
        <v>21964972602</v>
      </c>
      <c r="F733" s="31" t="s">
        <v>10</v>
      </c>
      <c r="G733" s="31" t="s">
        <v>1396</v>
      </c>
      <c r="H733" s="77" t="s">
        <v>2223</v>
      </c>
      <c r="I733" s="31">
        <f>VLOOKUP(H733,PACOTES!B:E,4,FALSE)</f>
        <v>3</v>
      </c>
      <c r="J733" s="77" t="s">
        <v>134</v>
      </c>
      <c r="K733" s="32">
        <v>3900</v>
      </c>
      <c r="L733" s="32">
        <v>3900</v>
      </c>
      <c r="M733" s="108">
        <v>0</v>
      </c>
      <c r="N733" s="32"/>
      <c r="O733" s="32"/>
      <c r="P733" s="32"/>
    </row>
    <row r="734" spans="1:16" s="17" customFormat="1">
      <c r="A734" s="57">
        <v>96</v>
      </c>
      <c r="B734" s="37">
        <v>45631</v>
      </c>
      <c r="C734" s="28">
        <v>45656</v>
      </c>
      <c r="D734" s="29" t="s">
        <v>2205</v>
      </c>
      <c r="E734" s="35">
        <v>21979940462</v>
      </c>
      <c r="F734" s="31" t="s">
        <v>10</v>
      </c>
      <c r="G734" s="31" t="s">
        <v>2032</v>
      </c>
      <c r="H734" s="31" t="s">
        <v>2226</v>
      </c>
      <c r="I734" s="31">
        <f>VLOOKUP(H734,PACOTES!B:E,4,FALSE)</f>
        <v>0</v>
      </c>
      <c r="J734" s="77" t="s">
        <v>134</v>
      </c>
      <c r="K734" s="32">
        <v>3700</v>
      </c>
      <c r="L734" s="32">
        <v>3700</v>
      </c>
      <c r="M734" s="108">
        <v>0</v>
      </c>
      <c r="N734" s="32"/>
      <c r="O734" s="32"/>
      <c r="P734" s="32"/>
    </row>
    <row r="735" spans="1:16" s="4" customFormat="1">
      <c r="A735" s="57">
        <v>299</v>
      </c>
      <c r="B735" s="37">
        <v>45635</v>
      </c>
      <c r="C735" s="28">
        <v>45640</v>
      </c>
      <c r="D735" s="29" t="s">
        <v>1928</v>
      </c>
      <c r="E735" s="35">
        <v>21990431182</v>
      </c>
      <c r="F735" s="31" t="s">
        <v>11</v>
      </c>
      <c r="G735" s="31" t="s">
        <v>1798</v>
      </c>
      <c r="H735" s="77" t="s">
        <v>2223</v>
      </c>
      <c r="I735" s="31">
        <f>VLOOKUP(H735,PACOTES!B:E,4,FALSE)</f>
        <v>3</v>
      </c>
      <c r="J735" s="77" t="s">
        <v>134</v>
      </c>
      <c r="K735" s="32">
        <v>2900</v>
      </c>
      <c r="L735" s="32">
        <v>2900</v>
      </c>
      <c r="M735" s="108">
        <v>0</v>
      </c>
      <c r="N735" s="32"/>
      <c r="O735" s="32"/>
      <c r="P735" s="32"/>
    </row>
    <row r="736" spans="1:16" s="4" customFormat="1">
      <c r="A736" s="57">
        <v>168</v>
      </c>
      <c r="B736" s="37">
        <v>45636</v>
      </c>
      <c r="C736" s="28">
        <v>45649</v>
      </c>
      <c r="D736" s="29" t="s">
        <v>1206</v>
      </c>
      <c r="E736" s="35">
        <v>21976414667</v>
      </c>
      <c r="F736" s="31" t="s">
        <v>10</v>
      </c>
      <c r="G736" s="31" t="s">
        <v>1696</v>
      </c>
      <c r="H736" s="77" t="s">
        <v>2225</v>
      </c>
      <c r="I736" s="31">
        <f>VLOOKUP(H736,PACOTES!B:E,4,FALSE)</f>
        <v>1</v>
      </c>
      <c r="J736" s="77" t="s">
        <v>134</v>
      </c>
      <c r="K736" s="32">
        <v>3900</v>
      </c>
      <c r="L736" s="32">
        <v>3900</v>
      </c>
      <c r="M736" s="108">
        <v>0</v>
      </c>
      <c r="N736" s="32"/>
      <c r="O736" s="32"/>
      <c r="P736" s="32"/>
    </row>
    <row r="737" spans="1:16" s="4" customFormat="1">
      <c r="A737" s="57">
        <v>266</v>
      </c>
      <c r="B737" s="37">
        <v>45637</v>
      </c>
      <c r="C737" s="28">
        <v>45648</v>
      </c>
      <c r="D737" s="29" t="s">
        <v>1866</v>
      </c>
      <c r="E737" s="35">
        <v>21986314226</v>
      </c>
      <c r="F737" s="31" t="s">
        <v>10</v>
      </c>
      <c r="G737" s="31" t="s">
        <v>1868</v>
      </c>
      <c r="H737" s="31" t="s">
        <v>2226</v>
      </c>
      <c r="I737" s="31">
        <f>VLOOKUP(H737,PACOTES!B:E,4,FALSE)</f>
        <v>0</v>
      </c>
      <c r="J737" s="77" t="s">
        <v>134</v>
      </c>
      <c r="K737" s="32">
        <v>4400</v>
      </c>
      <c r="L737" s="32">
        <v>4400</v>
      </c>
      <c r="M737" s="108">
        <v>0</v>
      </c>
      <c r="N737" s="32"/>
      <c r="O737" s="32"/>
      <c r="P737" s="32"/>
    </row>
    <row r="738" spans="1:16" s="4" customFormat="1">
      <c r="A738" s="57">
        <v>114</v>
      </c>
      <c r="B738" s="37">
        <v>45643</v>
      </c>
      <c r="C738" s="28">
        <v>45648</v>
      </c>
      <c r="D738" s="29" t="s">
        <v>1289</v>
      </c>
      <c r="E738" s="35">
        <v>21970396831</v>
      </c>
      <c r="F738" s="31" t="s">
        <v>10</v>
      </c>
      <c r="G738" s="31" t="s">
        <v>1614</v>
      </c>
      <c r="H738" s="77" t="s">
        <v>2223</v>
      </c>
      <c r="I738" s="31">
        <f>VLOOKUP(H738,PACOTES!B:E,4,FALSE)</f>
        <v>3</v>
      </c>
      <c r="J738" s="77" t="s">
        <v>134</v>
      </c>
      <c r="K738" s="32">
        <v>4400</v>
      </c>
      <c r="L738" s="32">
        <v>4400</v>
      </c>
      <c r="M738" s="108">
        <v>0</v>
      </c>
      <c r="N738" s="32"/>
      <c r="O738" s="32"/>
      <c r="P738" s="32"/>
    </row>
    <row r="739" spans="1:16" s="21" customFormat="1">
      <c r="A739" s="57">
        <v>446</v>
      </c>
      <c r="B739" s="37">
        <v>45643</v>
      </c>
      <c r="C739" s="28">
        <v>45650</v>
      </c>
      <c r="D739" s="29" t="s">
        <v>2132</v>
      </c>
      <c r="E739" s="35">
        <v>24999112776</v>
      </c>
      <c r="F739" s="31" t="s">
        <v>10</v>
      </c>
      <c r="G739" s="31" t="s">
        <v>1868</v>
      </c>
      <c r="H739" s="77" t="s">
        <v>2223</v>
      </c>
      <c r="I739" s="31">
        <f>VLOOKUP(H739,PACOTES!B:E,4,FALSE)</f>
        <v>3</v>
      </c>
      <c r="J739" s="77" t="s">
        <v>134</v>
      </c>
      <c r="K739" s="32">
        <v>4400</v>
      </c>
      <c r="L739" s="32">
        <v>4400</v>
      </c>
      <c r="M739" s="108">
        <v>0</v>
      </c>
      <c r="N739" s="32"/>
      <c r="O739" s="32"/>
      <c r="P739" s="32"/>
    </row>
    <row r="740" spans="1:16" s="4" customFormat="1">
      <c r="A740" s="57">
        <v>91</v>
      </c>
      <c r="B740" s="37">
        <v>45645</v>
      </c>
      <c r="C740" s="28">
        <v>45646</v>
      </c>
      <c r="D740" s="29" t="s">
        <v>1539</v>
      </c>
      <c r="E740" s="35">
        <v>21969402960</v>
      </c>
      <c r="F740" s="31" t="s">
        <v>11</v>
      </c>
      <c r="G740" s="31" t="s">
        <v>1540</v>
      </c>
      <c r="H740" s="77" t="s">
        <v>2223</v>
      </c>
      <c r="I740" s="31">
        <f>VLOOKUP(H740,PACOTES!B:E,4,FALSE)</f>
        <v>3</v>
      </c>
      <c r="J740" s="77" t="s">
        <v>419</v>
      </c>
      <c r="K740" s="32">
        <v>0</v>
      </c>
      <c r="L740" s="32">
        <v>0</v>
      </c>
      <c r="M740" s="108">
        <v>0</v>
      </c>
      <c r="N740" s="32"/>
      <c r="O740" s="32"/>
      <c r="P740" s="32"/>
    </row>
    <row r="741" spans="1:16" s="17" customFormat="1">
      <c r="A741" s="57">
        <v>93</v>
      </c>
      <c r="B741" s="37">
        <v>45645</v>
      </c>
      <c r="C741" s="28">
        <v>45650</v>
      </c>
      <c r="D741" s="29" t="s">
        <v>1547</v>
      </c>
      <c r="E741" s="35">
        <v>21969825557</v>
      </c>
      <c r="F741" s="31" t="s">
        <v>11</v>
      </c>
      <c r="G741" s="31" t="s">
        <v>1316</v>
      </c>
      <c r="H741" s="77" t="s">
        <v>2223</v>
      </c>
      <c r="I741" s="31">
        <f>VLOOKUP(H741,PACOTES!B:E,4,FALSE)</f>
        <v>3</v>
      </c>
      <c r="J741" s="77" t="s">
        <v>134</v>
      </c>
      <c r="K741" s="32">
        <v>2700</v>
      </c>
      <c r="L741" s="32">
        <v>2700</v>
      </c>
      <c r="M741" s="108">
        <v>0</v>
      </c>
      <c r="N741" s="32"/>
      <c r="O741" s="32"/>
      <c r="P741" s="32"/>
    </row>
    <row r="742" spans="1:16" s="17" customFormat="1">
      <c r="A742" s="57">
        <v>307</v>
      </c>
      <c r="B742" s="37">
        <v>45645</v>
      </c>
      <c r="C742" s="28">
        <v>45656</v>
      </c>
      <c r="D742" s="29" t="s">
        <v>1940</v>
      </c>
      <c r="E742" s="35">
        <v>21991385460</v>
      </c>
      <c r="F742" s="31" t="s">
        <v>11</v>
      </c>
      <c r="G742" s="31" t="s">
        <v>1316</v>
      </c>
      <c r="H742" s="77" t="s">
        <v>2223</v>
      </c>
      <c r="I742" s="31">
        <f>VLOOKUP(H742,PACOTES!B:E,4,FALSE)</f>
        <v>3</v>
      </c>
      <c r="J742" s="77" t="s">
        <v>134</v>
      </c>
      <c r="K742" s="32">
        <v>2900</v>
      </c>
      <c r="L742" s="32">
        <v>2900</v>
      </c>
      <c r="M742" s="108">
        <v>0</v>
      </c>
      <c r="N742" s="32"/>
      <c r="O742" s="32"/>
      <c r="P742" s="32"/>
    </row>
    <row r="743" spans="1:16" s="17" customFormat="1">
      <c r="A743" s="57">
        <v>377</v>
      </c>
      <c r="B743" s="37">
        <v>45645</v>
      </c>
      <c r="C743" s="28">
        <v>45649</v>
      </c>
      <c r="D743" s="29" t="s">
        <v>1429</v>
      </c>
      <c r="E743" s="35">
        <v>21997254914</v>
      </c>
      <c r="F743" s="31" t="s">
        <v>10</v>
      </c>
      <c r="G743" s="31" t="s">
        <v>2047</v>
      </c>
      <c r="H743" s="77" t="s">
        <v>2223</v>
      </c>
      <c r="I743" s="31">
        <f>VLOOKUP(H743,PACOTES!B:E,4,FALSE)</f>
        <v>3</v>
      </c>
      <c r="J743" s="77" t="s">
        <v>134</v>
      </c>
      <c r="K743" s="32">
        <v>4300</v>
      </c>
      <c r="L743" s="32">
        <v>4300</v>
      </c>
      <c r="M743" s="108">
        <v>0</v>
      </c>
      <c r="N743" s="32"/>
      <c r="O743" s="32"/>
      <c r="P743" s="32"/>
    </row>
    <row r="744" spans="1:16" s="17" customFormat="1">
      <c r="A744" s="57">
        <v>567</v>
      </c>
      <c r="B744" s="37">
        <v>45652</v>
      </c>
      <c r="C744" s="28">
        <v>45656</v>
      </c>
      <c r="D744" s="50" t="s">
        <v>1514</v>
      </c>
      <c r="E744" s="30">
        <v>21975406360</v>
      </c>
      <c r="F744" s="31" t="s">
        <v>9</v>
      </c>
      <c r="G744" s="33" t="s">
        <v>2206</v>
      </c>
      <c r="H744" s="77" t="s">
        <v>2223</v>
      </c>
      <c r="I744" s="31">
        <f>VLOOKUP(H744,PACOTES!B:E,4,FALSE)</f>
        <v>3</v>
      </c>
      <c r="J744" s="77" t="s">
        <v>134</v>
      </c>
      <c r="K744" s="32">
        <v>5700</v>
      </c>
      <c r="L744" s="32">
        <v>5700</v>
      </c>
      <c r="M744" s="108">
        <v>0</v>
      </c>
      <c r="N744" s="32"/>
      <c r="O744" s="32"/>
      <c r="P744" s="32"/>
    </row>
    <row r="745" spans="1:16" s="17" customFormat="1">
      <c r="A745" s="57">
        <v>276</v>
      </c>
      <c r="B745" s="37">
        <v>45664</v>
      </c>
      <c r="C745" s="28">
        <v>45679</v>
      </c>
      <c r="D745" s="29" t="s">
        <v>1891</v>
      </c>
      <c r="E745" s="35">
        <v>21987572104</v>
      </c>
      <c r="F745" s="31" t="s">
        <v>10</v>
      </c>
      <c r="G745" s="31" t="s">
        <v>1892</v>
      </c>
      <c r="H745" s="77" t="s">
        <v>2223</v>
      </c>
      <c r="I745" s="31">
        <f>VLOOKUP(H745,PACOTES!B:E,4,FALSE)</f>
        <v>3</v>
      </c>
      <c r="J745" s="77" t="s">
        <v>134</v>
      </c>
      <c r="K745" s="32">
        <v>3900</v>
      </c>
      <c r="L745" s="32">
        <v>3900</v>
      </c>
      <c r="M745" s="108">
        <v>0</v>
      </c>
      <c r="N745" s="32"/>
      <c r="O745" s="32"/>
      <c r="P745" s="32"/>
    </row>
    <row r="746" spans="1:16" s="17" customFormat="1">
      <c r="A746" s="57">
        <v>115</v>
      </c>
      <c r="B746" s="37">
        <v>45667</v>
      </c>
      <c r="C746" s="28">
        <v>45682</v>
      </c>
      <c r="D746" s="29" t="s">
        <v>1615</v>
      </c>
      <c r="E746" s="35">
        <v>21970409706</v>
      </c>
      <c r="F746" s="31" t="s">
        <v>9</v>
      </c>
      <c r="G746" s="31" t="s">
        <v>1616</v>
      </c>
      <c r="H746" s="77" t="s">
        <v>2223</v>
      </c>
      <c r="I746" s="31">
        <f>VLOOKUP(H746,PACOTES!B:E,4,FALSE)</f>
        <v>3</v>
      </c>
      <c r="J746" s="77" t="s">
        <v>134</v>
      </c>
      <c r="K746" s="32">
        <v>5600</v>
      </c>
      <c r="L746" s="32">
        <v>5600</v>
      </c>
      <c r="M746" s="108">
        <v>0</v>
      </c>
      <c r="N746" s="32"/>
      <c r="O746" s="32"/>
      <c r="P746" s="32"/>
    </row>
    <row r="747" spans="1:16" s="4" customFormat="1">
      <c r="A747" s="57">
        <v>367</v>
      </c>
      <c r="B747" s="37">
        <v>45667</v>
      </c>
      <c r="C747" s="28">
        <v>45682</v>
      </c>
      <c r="D747" s="29" t="s">
        <v>1482</v>
      </c>
      <c r="E747" s="35">
        <v>21996675674</v>
      </c>
      <c r="F747" s="31" t="s">
        <v>10</v>
      </c>
      <c r="G747" s="31" t="s">
        <v>1703</v>
      </c>
      <c r="H747" s="77" t="s">
        <v>2225</v>
      </c>
      <c r="I747" s="31">
        <f>VLOOKUP(H747,PACOTES!B:E,4,FALSE)</f>
        <v>1</v>
      </c>
      <c r="J747" s="77" t="s">
        <v>134</v>
      </c>
      <c r="K747" s="32">
        <v>4400</v>
      </c>
      <c r="L747" s="32">
        <v>4400</v>
      </c>
      <c r="M747" s="108">
        <v>0</v>
      </c>
      <c r="N747" s="32"/>
      <c r="O747" s="32"/>
      <c r="P747" s="32"/>
    </row>
    <row r="748" spans="1:16" s="4" customFormat="1">
      <c r="A748" s="57">
        <v>568</v>
      </c>
      <c r="B748" s="37">
        <v>45667</v>
      </c>
      <c r="C748" s="28">
        <v>45682</v>
      </c>
      <c r="D748" s="29" t="s">
        <v>2207</v>
      </c>
      <c r="E748" s="30">
        <v>21998883954</v>
      </c>
      <c r="F748" s="31" t="s">
        <v>10</v>
      </c>
      <c r="G748" s="31" t="s">
        <v>1231</v>
      </c>
      <c r="H748" s="77" t="s">
        <v>2223</v>
      </c>
      <c r="I748" s="31">
        <f>VLOOKUP(H748,PACOTES!B:E,4,FALSE)</f>
        <v>3</v>
      </c>
      <c r="J748" s="77" t="s">
        <v>134</v>
      </c>
      <c r="K748" s="32">
        <v>3900</v>
      </c>
      <c r="L748" s="32">
        <v>3900</v>
      </c>
      <c r="M748" s="108">
        <v>0</v>
      </c>
      <c r="N748" s="32"/>
      <c r="O748" s="32"/>
      <c r="P748" s="32"/>
    </row>
    <row r="749" spans="1:16" s="4" customFormat="1">
      <c r="A749" s="57">
        <v>537</v>
      </c>
      <c r="B749" s="37">
        <v>45709</v>
      </c>
      <c r="C749" s="28">
        <v>45709</v>
      </c>
      <c r="D749" s="29" t="s">
        <v>1208</v>
      </c>
      <c r="E749" s="35">
        <v>67996750081</v>
      </c>
      <c r="F749" s="31" t="s">
        <v>11</v>
      </c>
      <c r="G749" s="31" t="s">
        <v>1533</v>
      </c>
      <c r="H749" s="77" t="s">
        <v>2223</v>
      </c>
      <c r="I749" s="31">
        <f>VLOOKUP(H749,PACOTES!B:E,4,FALSE)</f>
        <v>3</v>
      </c>
      <c r="J749" s="77" t="s">
        <v>134</v>
      </c>
      <c r="K749" s="32">
        <v>2900</v>
      </c>
      <c r="L749" s="32">
        <v>2900</v>
      </c>
      <c r="M749" s="108">
        <v>0</v>
      </c>
      <c r="N749" s="32"/>
      <c r="O749" s="32"/>
      <c r="P749" s="32"/>
    </row>
    <row r="750" spans="1:16" s="4" customFormat="1">
      <c r="A750" s="57">
        <v>359</v>
      </c>
      <c r="B750" s="37">
        <v>45734</v>
      </c>
      <c r="C750" s="28">
        <v>45735</v>
      </c>
      <c r="D750" s="29" t="s">
        <v>2021</v>
      </c>
      <c r="E750" s="35">
        <v>21996091581</v>
      </c>
      <c r="F750" s="31" t="s">
        <v>10</v>
      </c>
      <c r="G750" s="31" t="s">
        <v>1207</v>
      </c>
      <c r="H750" s="77" t="s">
        <v>2226</v>
      </c>
      <c r="I750" s="31">
        <f>VLOOKUP(H750,PACOTES!B:E,4,FALSE)</f>
        <v>0</v>
      </c>
      <c r="J750" s="77" t="s">
        <v>134</v>
      </c>
      <c r="K750" s="32">
        <v>3900</v>
      </c>
      <c r="L750" s="32">
        <v>3900</v>
      </c>
      <c r="M750" s="108">
        <v>0</v>
      </c>
      <c r="N750" s="104" t="s">
        <v>2252</v>
      </c>
      <c r="O750" s="104" t="s">
        <v>135</v>
      </c>
      <c r="P750" s="104" t="s">
        <v>135</v>
      </c>
    </row>
    <row r="751" spans="1:16" s="4" customFormat="1">
      <c r="A751" s="57">
        <v>68</v>
      </c>
      <c r="B751" s="37">
        <v>45743</v>
      </c>
      <c r="C751" s="28">
        <v>45758</v>
      </c>
      <c r="D751" s="29" t="s">
        <v>1458</v>
      </c>
      <c r="E751" s="35">
        <v>21966370716</v>
      </c>
      <c r="F751" s="31" t="s">
        <v>10</v>
      </c>
      <c r="G751" s="31" t="s">
        <v>1459</v>
      </c>
      <c r="H751" s="77" t="s">
        <v>2224</v>
      </c>
      <c r="I751" s="31">
        <f>VLOOKUP(H751,PACOTES!B:E,4,FALSE)</f>
        <v>2</v>
      </c>
      <c r="J751" s="77" t="s">
        <v>134</v>
      </c>
      <c r="K751" s="32">
        <v>3900</v>
      </c>
      <c r="L751" s="32">
        <v>3900</v>
      </c>
      <c r="M751" s="108">
        <v>0</v>
      </c>
      <c r="N751" s="32"/>
      <c r="O751" s="32"/>
      <c r="P751" s="32"/>
    </row>
    <row r="752" spans="1:16" s="4" customFormat="1">
      <c r="A752" s="57">
        <v>338</v>
      </c>
      <c r="B752" s="37">
        <v>45748</v>
      </c>
      <c r="C752" s="28">
        <v>45749</v>
      </c>
      <c r="D752" s="29" t="s">
        <v>1989</v>
      </c>
      <c r="E752" s="35">
        <v>21994626938</v>
      </c>
      <c r="F752" s="31" t="s">
        <v>11</v>
      </c>
      <c r="G752" s="31" t="s">
        <v>1990</v>
      </c>
      <c r="H752" s="77" t="s">
        <v>2224</v>
      </c>
      <c r="I752" s="31">
        <f>VLOOKUP(H752,PACOTES!B:E,4,FALSE)</f>
        <v>2</v>
      </c>
      <c r="J752" s="77" t="s">
        <v>134</v>
      </c>
      <c r="K752" s="32">
        <v>2900</v>
      </c>
      <c r="L752" s="32">
        <v>2900</v>
      </c>
      <c r="M752" s="108">
        <v>0</v>
      </c>
      <c r="N752" s="32"/>
      <c r="O752" s="32"/>
      <c r="P752" s="32"/>
    </row>
    <row r="753" spans="1:16" s="4" customFormat="1">
      <c r="A753" s="57">
        <v>342</v>
      </c>
      <c r="B753" s="37">
        <v>45758</v>
      </c>
      <c r="C753" s="28">
        <v>45767</v>
      </c>
      <c r="D753" s="29" t="s">
        <v>1995</v>
      </c>
      <c r="E753" s="35">
        <v>21994938847</v>
      </c>
      <c r="F753" s="31" t="s">
        <v>10</v>
      </c>
      <c r="G753" s="31" t="s">
        <v>1873</v>
      </c>
      <c r="H753" s="77" t="s">
        <v>2226</v>
      </c>
      <c r="I753" s="31">
        <f>VLOOKUP(H753,PACOTES!B:E,4,FALSE)</f>
        <v>0</v>
      </c>
      <c r="J753" s="77" t="s">
        <v>134</v>
      </c>
      <c r="K753" s="32">
        <v>3900</v>
      </c>
      <c r="L753" s="32">
        <v>3900</v>
      </c>
      <c r="M753" s="108">
        <v>0</v>
      </c>
      <c r="N753" s="32"/>
      <c r="O753" s="32"/>
      <c r="P753" s="32"/>
    </row>
    <row r="754" spans="1:16" s="17" customFormat="1">
      <c r="A754" s="57">
        <v>260</v>
      </c>
      <c r="B754" s="37">
        <v>45777</v>
      </c>
      <c r="C754" s="28">
        <v>45777</v>
      </c>
      <c r="D754" s="29" t="s">
        <v>1856</v>
      </c>
      <c r="E754" s="35">
        <v>21985789697</v>
      </c>
      <c r="F754" s="31" t="s">
        <v>11</v>
      </c>
      <c r="G754" s="31" t="s">
        <v>1857</v>
      </c>
      <c r="H754" s="77" t="s">
        <v>2224</v>
      </c>
      <c r="I754" s="31">
        <f>VLOOKUP(H754,PACOTES!B:E,4,FALSE)</f>
        <v>2</v>
      </c>
      <c r="J754" s="77" t="s">
        <v>134</v>
      </c>
      <c r="K754" s="32">
        <v>2800</v>
      </c>
      <c r="L754" s="32">
        <v>2800</v>
      </c>
      <c r="M754" s="108">
        <v>0</v>
      </c>
      <c r="N754" s="32"/>
      <c r="O754" s="32"/>
      <c r="P754" s="32"/>
    </row>
    <row r="755" spans="1:16" s="4" customFormat="1">
      <c r="A755" s="57">
        <v>267</v>
      </c>
      <c r="B755" s="37">
        <v>45777</v>
      </c>
      <c r="C755" s="28">
        <v>45777</v>
      </c>
      <c r="D755" s="29" t="s">
        <v>1872</v>
      </c>
      <c r="E755" s="35">
        <v>21986408394</v>
      </c>
      <c r="F755" s="31" t="s">
        <v>10</v>
      </c>
      <c r="G755" s="31" t="s">
        <v>1873</v>
      </c>
      <c r="H755" s="77" t="s">
        <v>2224</v>
      </c>
      <c r="I755" s="31">
        <f>VLOOKUP(H755,PACOTES!B:E,4,FALSE)</f>
        <v>2</v>
      </c>
      <c r="J755" s="77" t="s">
        <v>134</v>
      </c>
      <c r="K755" s="32">
        <v>3700</v>
      </c>
      <c r="L755" s="32">
        <v>3700</v>
      </c>
      <c r="M755" s="108">
        <v>0</v>
      </c>
      <c r="N755" s="32"/>
      <c r="O755" s="32"/>
      <c r="P755" s="32"/>
    </row>
    <row r="756" spans="1:16" s="4" customFormat="1">
      <c r="A756" s="57">
        <v>283</v>
      </c>
      <c r="B756" s="37">
        <v>45777</v>
      </c>
      <c r="C756" s="28">
        <v>45777</v>
      </c>
      <c r="D756" s="29" t="s">
        <v>1589</v>
      </c>
      <c r="E756" s="35">
        <v>21988066271</v>
      </c>
      <c r="F756" s="31" t="s">
        <v>10</v>
      </c>
      <c r="G756" s="31" t="s">
        <v>1902</v>
      </c>
      <c r="H756" s="77" t="s">
        <v>2224</v>
      </c>
      <c r="I756" s="31">
        <f>VLOOKUP(H756,PACOTES!B:E,4,FALSE)</f>
        <v>2</v>
      </c>
      <c r="J756" s="77" t="s">
        <v>134</v>
      </c>
      <c r="K756" s="32">
        <v>4600</v>
      </c>
      <c r="L756" s="32">
        <v>4600</v>
      </c>
      <c r="M756" s="108">
        <v>0</v>
      </c>
      <c r="N756" s="32"/>
      <c r="O756" s="32"/>
      <c r="P756" s="32"/>
    </row>
    <row r="757" spans="1:16" s="4" customFormat="1">
      <c r="A757" s="57">
        <v>283</v>
      </c>
      <c r="B757" s="37">
        <v>45777</v>
      </c>
      <c r="C757" s="28">
        <v>45777</v>
      </c>
      <c r="D757" s="29" t="s">
        <v>1589</v>
      </c>
      <c r="E757" s="35">
        <v>21988066271</v>
      </c>
      <c r="F757" s="31" t="s">
        <v>10</v>
      </c>
      <c r="G757" s="31" t="s">
        <v>1903</v>
      </c>
      <c r="H757" s="77" t="s">
        <v>2224</v>
      </c>
      <c r="I757" s="31">
        <f>VLOOKUP(H757,PACOTES!B:E,4,FALSE)</f>
        <v>2</v>
      </c>
      <c r="J757" s="77" t="s">
        <v>134</v>
      </c>
      <c r="K757" s="32">
        <v>4600</v>
      </c>
      <c r="L757" s="32">
        <v>4600</v>
      </c>
      <c r="M757" s="108">
        <v>0</v>
      </c>
      <c r="N757" s="32"/>
      <c r="O757" s="32"/>
      <c r="P757" s="32"/>
    </row>
    <row r="758" spans="1:16" s="4" customFormat="1">
      <c r="A758" s="57">
        <v>173</v>
      </c>
      <c r="B758" s="37">
        <v>45783</v>
      </c>
      <c r="C758" s="28">
        <v>45798</v>
      </c>
      <c r="D758" s="29" t="s">
        <v>1624</v>
      </c>
      <c r="E758" s="35">
        <v>21977437412</v>
      </c>
      <c r="F758" s="31" t="s">
        <v>10</v>
      </c>
      <c r="G758" s="31" t="s">
        <v>1703</v>
      </c>
      <c r="H758" s="77" t="s">
        <v>2224</v>
      </c>
      <c r="I758" s="31">
        <f>VLOOKUP(H758,PACOTES!B:E,4,FALSE)</f>
        <v>2</v>
      </c>
      <c r="J758" s="77" t="s">
        <v>134</v>
      </c>
      <c r="K758" s="32">
        <v>4400</v>
      </c>
      <c r="L758" s="32">
        <v>4400</v>
      </c>
      <c r="M758" s="108">
        <v>0</v>
      </c>
      <c r="N758" s="32"/>
      <c r="O758" s="32"/>
      <c r="P758" s="32"/>
    </row>
    <row r="759" spans="1:16" s="4" customFormat="1">
      <c r="A759" s="57">
        <v>269</v>
      </c>
      <c r="B759" s="37">
        <v>45784</v>
      </c>
      <c r="C759" s="28">
        <v>45799</v>
      </c>
      <c r="D759" s="29" t="s">
        <v>1875</v>
      </c>
      <c r="E759" s="30">
        <v>21986944860</v>
      </c>
      <c r="F759" s="31" t="s">
        <v>10</v>
      </c>
      <c r="G759" s="31" t="s">
        <v>2208</v>
      </c>
      <c r="H759" s="77" t="s">
        <v>2224</v>
      </c>
      <c r="I759" s="31">
        <f>VLOOKUP(H759,PACOTES!B:E,4,FALSE)</f>
        <v>2</v>
      </c>
      <c r="J759" s="77" t="s">
        <v>134</v>
      </c>
      <c r="K759" s="32">
        <v>3900</v>
      </c>
      <c r="L759" s="32">
        <v>3900</v>
      </c>
      <c r="M759" s="108">
        <v>0</v>
      </c>
      <c r="N759" s="32"/>
      <c r="O759" s="32"/>
      <c r="P759" s="32"/>
    </row>
    <row r="760" spans="1:16" s="4" customFormat="1">
      <c r="A760" s="57">
        <v>266</v>
      </c>
      <c r="B760" s="37">
        <v>45785</v>
      </c>
      <c r="C760" s="28">
        <v>45800</v>
      </c>
      <c r="D760" s="29" t="s">
        <v>1866</v>
      </c>
      <c r="E760" s="51">
        <v>21986314226</v>
      </c>
      <c r="F760" s="31" t="s">
        <v>10</v>
      </c>
      <c r="G760" s="31" t="s">
        <v>1720</v>
      </c>
      <c r="H760" s="31" t="s">
        <v>2226</v>
      </c>
      <c r="I760" s="31">
        <f>VLOOKUP(H760,PACOTES!B:E,4,FALSE)</f>
        <v>0</v>
      </c>
      <c r="J760" s="77" t="s">
        <v>134</v>
      </c>
      <c r="K760" s="32">
        <v>3900</v>
      </c>
      <c r="L760" s="32">
        <v>3900</v>
      </c>
      <c r="M760" s="108">
        <v>0</v>
      </c>
      <c r="N760" s="32"/>
      <c r="O760" s="32"/>
      <c r="P760" s="32"/>
    </row>
    <row r="761" spans="1:16" s="4" customFormat="1">
      <c r="A761" s="57">
        <v>73</v>
      </c>
      <c r="B761" s="37">
        <v>45791</v>
      </c>
      <c r="C761" s="28">
        <v>45806</v>
      </c>
      <c r="D761" s="29" t="s">
        <v>1410</v>
      </c>
      <c r="E761" s="35">
        <v>21967561681</v>
      </c>
      <c r="F761" s="31" t="s">
        <v>10</v>
      </c>
      <c r="G761" s="31" t="s">
        <v>1480</v>
      </c>
      <c r="H761" s="77" t="s">
        <v>2224</v>
      </c>
      <c r="I761" s="31">
        <f>VLOOKUP(H761,PACOTES!B:E,4,FALSE)</f>
        <v>2</v>
      </c>
      <c r="J761" s="77" t="s">
        <v>134</v>
      </c>
      <c r="K761" s="32">
        <v>3900</v>
      </c>
      <c r="L761" s="32">
        <v>3900</v>
      </c>
      <c r="M761" s="108">
        <v>0</v>
      </c>
      <c r="N761" s="32"/>
      <c r="O761" s="32"/>
      <c r="P761" s="32"/>
    </row>
    <row r="762" spans="1:16" s="4" customFormat="1">
      <c r="A762" s="57">
        <v>386</v>
      </c>
      <c r="B762" s="37">
        <v>45792</v>
      </c>
      <c r="C762" s="28">
        <v>45807</v>
      </c>
      <c r="D762" s="29" t="s">
        <v>1866</v>
      </c>
      <c r="E762" s="30">
        <v>21997977620</v>
      </c>
      <c r="F762" s="31" t="s">
        <v>10</v>
      </c>
      <c r="G762" s="31" t="s">
        <v>1720</v>
      </c>
      <c r="H762" s="77" t="s">
        <v>2224</v>
      </c>
      <c r="I762" s="31">
        <f>VLOOKUP(H762,PACOTES!B:E,4,FALSE)</f>
        <v>2</v>
      </c>
      <c r="J762" s="77" t="s">
        <v>134</v>
      </c>
      <c r="K762" s="32">
        <v>3900</v>
      </c>
      <c r="L762" s="32">
        <v>3900</v>
      </c>
      <c r="M762" s="108">
        <v>0</v>
      </c>
      <c r="N762" s="32"/>
      <c r="O762" s="32"/>
      <c r="P762" s="32"/>
    </row>
    <row r="763" spans="1:16" s="17" customFormat="1">
      <c r="A763" s="57">
        <v>554</v>
      </c>
      <c r="B763" s="37">
        <v>45809</v>
      </c>
      <c r="C763" s="28">
        <v>45824</v>
      </c>
      <c r="D763" s="29" t="s">
        <v>1590</v>
      </c>
      <c r="E763" s="35">
        <v>98970022772</v>
      </c>
      <c r="F763" s="31" t="s">
        <v>10</v>
      </c>
      <c r="G763" s="31" t="s">
        <v>1591</v>
      </c>
      <c r="H763" s="77" t="s">
        <v>2224</v>
      </c>
      <c r="I763" s="31">
        <f>VLOOKUP(H763,PACOTES!B:E,4,FALSE)</f>
        <v>2</v>
      </c>
      <c r="J763" s="77" t="s">
        <v>134</v>
      </c>
      <c r="K763" s="32">
        <v>4400</v>
      </c>
      <c r="L763" s="32">
        <v>4400</v>
      </c>
      <c r="M763" s="108">
        <v>0</v>
      </c>
      <c r="N763" s="32"/>
      <c r="O763" s="32"/>
      <c r="P763" s="32"/>
    </row>
    <row r="764" spans="1:16" s="17" customFormat="1">
      <c r="A764" s="57">
        <v>286</v>
      </c>
      <c r="B764" s="37">
        <v>45813</v>
      </c>
      <c r="C764" s="28">
        <v>45828</v>
      </c>
      <c r="D764" s="29" t="s">
        <v>1908</v>
      </c>
      <c r="E764" s="35">
        <v>21988344062</v>
      </c>
      <c r="F764" s="31" t="s">
        <v>10</v>
      </c>
      <c r="G764" s="31" t="s">
        <v>1909</v>
      </c>
      <c r="H764" s="77" t="s">
        <v>2224</v>
      </c>
      <c r="I764" s="31">
        <f>VLOOKUP(H764,PACOTES!B:E,4,FALSE)</f>
        <v>2</v>
      </c>
      <c r="J764" s="77" t="s">
        <v>134</v>
      </c>
      <c r="K764" s="32">
        <v>3800</v>
      </c>
      <c r="L764" s="32">
        <v>3800</v>
      </c>
      <c r="M764" s="108">
        <v>0</v>
      </c>
      <c r="N764" s="32"/>
      <c r="O764" s="32"/>
      <c r="P764" s="32"/>
    </row>
    <row r="765" spans="1:16" s="17" customFormat="1">
      <c r="A765" s="57">
        <v>298</v>
      </c>
      <c r="B765" s="37">
        <v>45822</v>
      </c>
      <c r="C765" s="28">
        <v>45837</v>
      </c>
      <c r="D765" s="29" t="s">
        <v>1927</v>
      </c>
      <c r="E765" s="35">
        <v>21990192323</v>
      </c>
      <c r="F765" s="31" t="s">
        <v>10</v>
      </c>
      <c r="G765" s="31" t="s">
        <v>1909</v>
      </c>
      <c r="H765" s="77" t="s">
        <v>2224</v>
      </c>
      <c r="I765" s="31">
        <f>VLOOKUP(H765,PACOTES!B:E,4,FALSE)</f>
        <v>2</v>
      </c>
      <c r="J765" s="77" t="s">
        <v>134</v>
      </c>
      <c r="K765" s="32">
        <v>3900</v>
      </c>
      <c r="L765" s="32">
        <v>3900</v>
      </c>
      <c r="M765" s="108">
        <v>0</v>
      </c>
      <c r="N765" s="32"/>
      <c r="O765" s="32"/>
      <c r="P765" s="32"/>
    </row>
    <row r="766" spans="1:16" s="17" customFormat="1">
      <c r="A766" s="57">
        <v>132</v>
      </c>
      <c r="B766" s="37">
        <v>45830</v>
      </c>
      <c r="C766" s="28">
        <v>45845</v>
      </c>
      <c r="D766" s="29" t="s">
        <v>1635</v>
      </c>
      <c r="E766" s="35">
        <v>21972211398</v>
      </c>
      <c r="F766" s="31" t="s">
        <v>10</v>
      </c>
      <c r="G766" s="31" t="s">
        <v>1636</v>
      </c>
      <c r="H766" s="77" t="s">
        <v>2224</v>
      </c>
      <c r="I766" s="31">
        <f>VLOOKUP(H766,PACOTES!B:E,4,FALSE)</f>
        <v>2</v>
      </c>
      <c r="J766" s="77" t="s">
        <v>134</v>
      </c>
      <c r="K766" s="32">
        <v>3700</v>
      </c>
      <c r="L766" s="32">
        <v>3700</v>
      </c>
      <c r="M766" s="108">
        <v>0</v>
      </c>
      <c r="N766" s="32"/>
      <c r="O766" s="32"/>
      <c r="P766" s="32"/>
    </row>
    <row r="767" spans="1:16" s="17" customFormat="1">
      <c r="A767" s="57">
        <v>176</v>
      </c>
      <c r="B767" s="37">
        <v>45840</v>
      </c>
      <c r="C767" s="28">
        <v>45855</v>
      </c>
      <c r="D767" s="29" t="s">
        <v>1708</v>
      </c>
      <c r="E767" s="35">
        <v>21979337859</v>
      </c>
      <c r="F767" s="31" t="s">
        <v>10</v>
      </c>
      <c r="G767" s="31" t="s">
        <v>1709</v>
      </c>
      <c r="H767" s="77" t="s">
        <v>2224</v>
      </c>
      <c r="I767" s="31">
        <f>VLOOKUP(H767,PACOTES!B:E,4,FALSE)</f>
        <v>2</v>
      </c>
      <c r="J767" s="77" t="s">
        <v>134</v>
      </c>
      <c r="K767" s="32">
        <v>4750</v>
      </c>
      <c r="L767" s="32">
        <v>4750</v>
      </c>
      <c r="M767" s="108">
        <v>0</v>
      </c>
      <c r="N767" s="32"/>
      <c r="O767" s="32"/>
      <c r="P767" s="32"/>
    </row>
    <row r="768" spans="1:16" s="17" customFormat="1">
      <c r="A768" s="57">
        <v>113</v>
      </c>
      <c r="B768" s="37">
        <v>45847</v>
      </c>
      <c r="C768" s="28">
        <v>45862</v>
      </c>
      <c r="D768" s="29" t="s">
        <v>1612</v>
      </c>
      <c r="E768" s="35">
        <v>21970391557</v>
      </c>
      <c r="F768" s="31" t="s">
        <v>10</v>
      </c>
      <c r="G768" s="31" t="s">
        <v>1613</v>
      </c>
      <c r="H768" s="77" t="s">
        <v>2224</v>
      </c>
      <c r="I768" s="31">
        <f>VLOOKUP(H768,PACOTES!B:E,4,FALSE)</f>
        <v>2</v>
      </c>
      <c r="J768" s="77" t="s">
        <v>134</v>
      </c>
      <c r="K768" s="32">
        <v>4400</v>
      </c>
      <c r="L768" s="32">
        <v>4400</v>
      </c>
      <c r="M768" s="108">
        <v>0</v>
      </c>
      <c r="N768" s="32"/>
      <c r="O768" s="32"/>
      <c r="P768" s="32"/>
    </row>
    <row r="769" spans="1:16" s="17" customFormat="1">
      <c r="A769" s="57">
        <v>198</v>
      </c>
      <c r="B769" s="37">
        <v>45847</v>
      </c>
      <c r="C769" s="28">
        <v>45862</v>
      </c>
      <c r="D769" s="29" t="s">
        <v>1749</v>
      </c>
      <c r="E769" s="35">
        <v>21981115855</v>
      </c>
      <c r="F769" s="31" t="s">
        <v>10</v>
      </c>
      <c r="G769" s="31" t="s">
        <v>1750</v>
      </c>
      <c r="H769" s="77" t="s">
        <v>2224</v>
      </c>
      <c r="I769" s="31">
        <f>VLOOKUP(H769,PACOTES!B:E,4,FALSE)</f>
        <v>2</v>
      </c>
      <c r="J769" s="77" t="s">
        <v>134</v>
      </c>
      <c r="K769" s="32">
        <v>4300</v>
      </c>
      <c r="L769" s="32">
        <v>4300</v>
      </c>
      <c r="M769" s="108">
        <v>0</v>
      </c>
      <c r="N769" s="32"/>
      <c r="O769" s="32"/>
      <c r="P769" s="32"/>
    </row>
    <row r="770" spans="1:16" s="4" customFormat="1">
      <c r="A770" s="57">
        <v>450</v>
      </c>
      <c r="B770" s="37">
        <v>45888</v>
      </c>
      <c r="C770" s="28">
        <v>45903</v>
      </c>
      <c r="D770" s="29" t="s">
        <v>1188</v>
      </c>
      <c r="E770" s="35">
        <v>11940146980</v>
      </c>
      <c r="F770" s="31" t="s">
        <v>11</v>
      </c>
      <c r="G770" s="31" t="s">
        <v>1189</v>
      </c>
      <c r="H770" s="77" t="s">
        <v>2224</v>
      </c>
      <c r="I770" s="31">
        <f>VLOOKUP(H770,PACOTES!B:E,4,FALSE)</f>
        <v>2</v>
      </c>
      <c r="J770" s="77" t="s">
        <v>134</v>
      </c>
      <c r="K770" s="32">
        <v>2700</v>
      </c>
      <c r="L770" s="32">
        <v>2700</v>
      </c>
      <c r="M770" s="108">
        <v>0</v>
      </c>
      <c r="N770" s="32"/>
      <c r="O770" s="32"/>
      <c r="P770" s="32"/>
    </row>
    <row r="771" spans="1:16" s="17" customFormat="1">
      <c r="A771" s="57">
        <v>226</v>
      </c>
      <c r="B771" s="37">
        <v>45888</v>
      </c>
      <c r="C771" s="28">
        <v>45903</v>
      </c>
      <c r="D771" s="29" t="s">
        <v>1795</v>
      </c>
      <c r="E771" s="35">
        <v>21982379029</v>
      </c>
      <c r="F771" s="31" t="s">
        <v>10</v>
      </c>
      <c r="G771" s="31" t="s">
        <v>1796</v>
      </c>
      <c r="H771" s="77" t="s">
        <v>2224</v>
      </c>
      <c r="I771" s="31">
        <f>VLOOKUP(H771,PACOTES!B:E,4,FALSE)</f>
        <v>2</v>
      </c>
      <c r="J771" s="77" t="s">
        <v>419</v>
      </c>
      <c r="K771" s="32">
        <v>3500</v>
      </c>
      <c r="L771" s="32">
        <v>3500</v>
      </c>
      <c r="M771" s="108">
        <v>0</v>
      </c>
      <c r="N771" s="32"/>
      <c r="O771" s="32"/>
      <c r="P771" s="32"/>
    </row>
    <row r="772" spans="1:16" s="4" customFormat="1">
      <c r="A772" s="57">
        <v>498</v>
      </c>
      <c r="B772" s="37">
        <v>45889</v>
      </c>
      <c r="C772" s="28">
        <v>45904</v>
      </c>
      <c r="D772" s="29" t="s">
        <v>1392</v>
      </c>
      <c r="E772" s="35">
        <v>35984174262</v>
      </c>
      <c r="F772" s="31" t="s">
        <v>10</v>
      </c>
      <c r="G772" s="31" t="s">
        <v>1193</v>
      </c>
      <c r="H772" s="77" t="s">
        <v>2224</v>
      </c>
      <c r="I772" s="31">
        <f>VLOOKUP(H772,PACOTES!B:E,4,FALSE)</f>
        <v>2</v>
      </c>
      <c r="J772" s="77" t="s">
        <v>134</v>
      </c>
      <c r="K772" s="32">
        <v>3900</v>
      </c>
      <c r="L772" s="32">
        <v>3900</v>
      </c>
      <c r="M772" s="108">
        <v>0</v>
      </c>
      <c r="N772" s="32"/>
      <c r="O772" s="32"/>
      <c r="P772" s="32"/>
    </row>
    <row r="773" spans="1:16" s="22" customFormat="1">
      <c r="A773" s="57">
        <v>218</v>
      </c>
      <c r="B773" s="37">
        <v>45889</v>
      </c>
      <c r="C773" s="28">
        <v>45904</v>
      </c>
      <c r="D773" s="29" t="s">
        <v>1780</v>
      </c>
      <c r="E773" s="35">
        <v>21982103956</v>
      </c>
      <c r="F773" s="31" t="s">
        <v>10</v>
      </c>
      <c r="G773" s="31" t="s">
        <v>1781</v>
      </c>
      <c r="H773" s="77" t="s">
        <v>2224</v>
      </c>
      <c r="I773" s="31">
        <f>VLOOKUP(H773,PACOTES!B:E,4,FALSE)</f>
        <v>2</v>
      </c>
      <c r="J773" s="77" t="s">
        <v>419</v>
      </c>
      <c r="K773" s="32">
        <v>3500</v>
      </c>
      <c r="L773" s="32">
        <v>3500</v>
      </c>
      <c r="M773" s="108">
        <v>0</v>
      </c>
      <c r="N773" s="32"/>
      <c r="O773" s="32"/>
      <c r="P773" s="32"/>
    </row>
    <row r="774" spans="1:16" s="17" customFormat="1">
      <c r="A774" s="57">
        <v>423</v>
      </c>
      <c r="B774" s="37">
        <v>45901</v>
      </c>
      <c r="C774" s="28">
        <v>45916</v>
      </c>
      <c r="D774" s="29" t="s">
        <v>2065</v>
      </c>
      <c r="E774" s="35">
        <v>22998357094</v>
      </c>
      <c r="F774" s="31" t="s">
        <v>10</v>
      </c>
      <c r="G774" s="31" t="s">
        <v>1193</v>
      </c>
      <c r="H774" s="77" t="s">
        <v>2224</v>
      </c>
      <c r="I774" s="31">
        <f>VLOOKUP(H774,PACOTES!B:E,4,FALSE)</f>
        <v>2</v>
      </c>
      <c r="J774" s="77" t="s">
        <v>134</v>
      </c>
      <c r="K774" s="32">
        <v>3900</v>
      </c>
      <c r="L774" s="32">
        <v>3900</v>
      </c>
      <c r="M774" s="108">
        <v>0</v>
      </c>
      <c r="N774" s="32"/>
      <c r="O774" s="32"/>
      <c r="P774" s="32"/>
    </row>
    <row r="775" spans="1:16" s="4" customFormat="1">
      <c r="A775" s="57">
        <v>42</v>
      </c>
      <c r="B775" s="37">
        <v>45905</v>
      </c>
      <c r="C775" s="28">
        <v>45920</v>
      </c>
      <c r="D775" s="29" t="s">
        <v>1351</v>
      </c>
      <c r="E775" s="35">
        <v>21964701473</v>
      </c>
      <c r="F775" s="31" t="s">
        <v>11</v>
      </c>
      <c r="G775" s="31" t="s">
        <v>1355</v>
      </c>
      <c r="H775" s="77" t="s">
        <v>2226</v>
      </c>
      <c r="I775" s="31">
        <f>VLOOKUP(H775,PACOTES!B:E,4,FALSE)</f>
        <v>0</v>
      </c>
      <c r="J775" s="77" t="s">
        <v>134</v>
      </c>
      <c r="K775" s="32">
        <v>2700</v>
      </c>
      <c r="L775" s="32">
        <v>2700</v>
      </c>
      <c r="M775" s="108">
        <v>0</v>
      </c>
      <c r="N775" s="32"/>
      <c r="O775" s="32"/>
      <c r="P775" s="32"/>
    </row>
    <row r="776" spans="1:16" s="17" customFormat="1">
      <c r="A776" s="57">
        <v>266</v>
      </c>
      <c r="B776" s="37">
        <v>45908</v>
      </c>
      <c r="C776" s="28">
        <v>45938</v>
      </c>
      <c r="D776" s="29" t="s">
        <v>1866</v>
      </c>
      <c r="E776" s="35">
        <v>21986314226</v>
      </c>
      <c r="F776" s="31" t="s">
        <v>9</v>
      </c>
      <c r="G776" s="31" t="s">
        <v>1869</v>
      </c>
      <c r="H776" s="31" t="s">
        <v>2226</v>
      </c>
      <c r="I776" s="31">
        <f>VLOOKUP(H776,PACOTES!B:E,4,FALSE)</f>
        <v>0</v>
      </c>
      <c r="J776" s="77" t="s">
        <v>134</v>
      </c>
      <c r="K776" s="32">
        <v>5300</v>
      </c>
      <c r="L776" s="32">
        <v>5300</v>
      </c>
      <c r="M776" s="108">
        <v>0</v>
      </c>
      <c r="N776" s="32"/>
      <c r="O776" s="32"/>
      <c r="P776" s="32"/>
    </row>
    <row r="777" spans="1:16" s="4" customFormat="1">
      <c r="A777" s="57">
        <v>34</v>
      </c>
      <c r="B777" s="37">
        <v>45922</v>
      </c>
      <c r="C777" s="28">
        <v>45922</v>
      </c>
      <c r="D777" s="29" t="s">
        <v>1319</v>
      </c>
      <c r="E777" s="35">
        <v>21964425566</v>
      </c>
      <c r="F777" s="31" t="s">
        <v>10</v>
      </c>
      <c r="G777" s="31" t="s">
        <v>1320</v>
      </c>
      <c r="H777" s="77" t="s">
        <v>2224</v>
      </c>
      <c r="I777" s="31">
        <f>VLOOKUP(H777,PACOTES!B:E,4,FALSE)</f>
        <v>2</v>
      </c>
      <c r="J777" s="77" t="s">
        <v>134</v>
      </c>
      <c r="K777" s="32">
        <v>3700</v>
      </c>
      <c r="L777" s="32">
        <v>3700</v>
      </c>
      <c r="M777" s="108">
        <v>0</v>
      </c>
      <c r="N777" s="32"/>
      <c r="O777" s="32"/>
      <c r="P777" s="32"/>
    </row>
    <row r="778" spans="1:16" s="17" customFormat="1">
      <c r="A778" s="57">
        <v>187</v>
      </c>
      <c r="B778" s="37">
        <v>45922</v>
      </c>
      <c r="C778" s="28">
        <v>45942</v>
      </c>
      <c r="D778" s="29" t="s">
        <v>1730</v>
      </c>
      <c r="E778" s="35">
        <v>21980413856</v>
      </c>
      <c r="F778" s="31" t="s">
        <v>10</v>
      </c>
      <c r="G778" s="31" t="s">
        <v>1731</v>
      </c>
      <c r="H778" s="77" t="s">
        <v>2224</v>
      </c>
      <c r="I778" s="31">
        <f>VLOOKUP(H778,PACOTES!B:E,4,FALSE)</f>
        <v>2</v>
      </c>
      <c r="J778" s="77" t="s">
        <v>134</v>
      </c>
      <c r="K778" s="32">
        <v>3900</v>
      </c>
      <c r="L778" s="32">
        <v>3900</v>
      </c>
      <c r="M778" s="108">
        <v>0</v>
      </c>
      <c r="N778" s="32"/>
      <c r="O778" s="32"/>
      <c r="P778" s="32"/>
    </row>
    <row r="779" spans="1:16" s="4" customFormat="1">
      <c r="A779" s="57">
        <v>219</v>
      </c>
      <c r="B779" s="37">
        <v>45922</v>
      </c>
      <c r="C779" s="28">
        <v>45942</v>
      </c>
      <c r="D779" s="29" t="s">
        <v>1782</v>
      </c>
      <c r="E779" s="35">
        <v>21982173835</v>
      </c>
      <c r="F779" s="31" t="s">
        <v>10</v>
      </c>
      <c r="G779" s="31" t="s">
        <v>1783</v>
      </c>
      <c r="H779" s="77" t="s">
        <v>2224</v>
      </c>
      <c r="I779" s="31">
        <f>VLOOKUP(H779,PACOTES!B:E,4,FALSE)</f>
        <v>2</v>
      </c>
      <c r="J779" s="77" t="s">
        <v>134</v>
      </c>
      <c r="K779" s="32">
        <v>4750</v>
      </c>
      <c r="L779" s="32">
        <v>4750</v>
      </c>
      <c r="M779" s="108">
        <v>0</v>
      </c>
      <c r="N779" s="32"/>
      <c r="O779" s="32"/>
      <c r="P779" s="32"/>
    </row>
    <row r="780" spans="1:16" s="17" customFormat="1">
      <c r="A780" s="57">
        <v>266</v>
      </c>
      <c r="B780" s="37">
        <v>45924</v>
      </c>
      <c r="C780" s="28">
        <v>45944</v>
      </c>
      <c r="D780" s="29" t="s">
        <v>1866</v>
      </c>
      <c r="E780" s="35">
        <v>21986314226</v>
      </c>
      <c r="F780" s="31" t="s">
        <v>10</v>
      </c>
      <c r="G780" s="31" t="s">
        <v>1870</v>
      </c>
      <c r="H780" s="31" t="s">
        <v>2226</v>
      </c>
      <c r="I780" s="31">
        <f>VLOOKUP(H780,PACOTES!B:E,4,FALSE)</f>
        <v>0</v>
      </c>
      <c r="J780" s="77" t="s">
        <v>134</v>
      </c>
      <c r="K780" s="32">
        <v>4400</v>
      </c>
      <c r="L780" s="32">
        <v>4400</v>
      </c>
      <c r="M780" s="108">
        <v>0</v>
      </c>
      <c r="N780" s="32"/>
      <c r="O780" s="32"/>
      <c r="P780" s="32"/>
    </row>
    <row r="781" spans="1:16" s="4" customFormat="1">
      <c r="A781" s="57">
        <v>428</v>
      </c>
      <c r="B781" s="37">
        <v>45929</v>
      </c>
      <c r="C781" s="28">
        <v>45985</v>
      </c>
      <c r="D781" s="29" t="s">
        <v>2209</v>
      </c>
      <c r="E781" s="35">
        <v>22999556855</v>
      </c>
      <c r="F781" s="31" t="s">
        <v>10</v>
      </c>
      <c r="G781" s="31" t="s">
        <v>2210</v>
      </c>
      <c r="H781" s="77" t="s">
        <v>2225</v>
      </c>
      <c r="I781" s="31">
        <f>VLOOKUP(H781,PACOTES!B:E,4,FALSE)</f>
        <v>1</v>
      </c>
      <c r="J781" s="77" t="s">
        <v>134</v>
      </c>
      <c r="K781" s="32">
        <v>4400</v>
      </c>
      <c r="L781" s="32">
        <v>4400</v>
      </c>
      <c r="M781" s="108">
        <v>0</v>
      </c>
      <c r="N781" s="32"/>
      <c r="O781" s="32"/>
      <c r="P781" s="32"/>
    </row>
    <row r="782" spans="1:16" s="4" customFormat="1">
      <c r="A782" s="57">
        <v>428</v>
      </c>
      <c r="B782" s="37">
        <v>45929</v>
      </c>
      <c r="C782" s="28">
        <v>45985</v>
      </c>
      <c r="D782" s="29" t="s">
        <v>2209</v>
      </c>
      <c r="E782" s="35">
        <v>22999556855</v>
      </c>
      <c r="F782" s="31" t="s">
        <v>10</v>
      </c>
      <c r="G782" s="31" t="s">
        <v>2211</v>
      </c>
      <c r="H782" s="77" t="s">
        <v>2225</v>
      </c>
      <c r="I782" s="31">
        <f>VLOOKUP(H782,PACOTES!B:E,4,FALSE)</f>
        <v>1</v>
      </c>
      <c r="J782" s="77" t="s">
        <v>134</v>
      </c>
      <c r="K782" s="32">
        <v>4400</v>
      </c>
      <c r="L782" s="32">
        <v>4400</v>
      </c>
      <c r="M782" s="108">
        <v>0</v>
      </c>
      <c r="N782" s="32"/>
      <c r="O782" s="32"/>
      <c r="P782" s="32"/>
    </row>
    <row r="783" spans="1:16" s="4" customFormat="1">
      <c r="A783" s="57">
        <v>367</v>
      </c>
      <c r="B783" s="37">
        <v>45947</v>
      </c>
      <c r="C783" s="28">
        <v>45967</v>
      </c>
      <c r="D783" s="29" t="s">
        <v>2033</v>
      </c>
      <c r="E783" s="35">
        <v>21996675674</v>
      </c>
      <c r="F783" s="31" t="s">
        <v>10</v>
      </c>
      <c r="G783" s="31" t="s">
        <v>2034</v>
      </c>
      <c r="H783" s="77" t="s">
        <v>2225</v>
      </c>
      <c r="I783" s="31">
        <f>VLOOKUP(H783,PACOTES!B:E,4,FALSE)</f>
        <v>1</v>
      </c>
      <c r="J783" s="77" t="s">
        <v>134</v>
      </c>
      <c r="K783" s="32">
        <v>4400</v>
      </c>
      <c r="L783" s="32">
        <v>4400</v>
      </c>
      <c r="M783" s="108">
        <v>0</v>
      </c>
      <c r="N783" s="32"/>
      <c r="O783" s="32"/>
      <c r="P783" s="32"/>
    </row>
    <row r="784" spans="1:16" s="4" customFormat="1">
      <c r="A784" s="57">
        <v>392</v>
      </c>
      <c r="B784" s="37">
        <v>45952</v>
      </c>
      <c r="C784" s="28">
        <v>45972</v>
      </c>
      <c r="D784" s="29" t="s">
        <v>2060</v>
      </c>
      <c r="E784" s="35">
        <v>21998766621</v>
      </c>
      <c r="F784" s="31" t="s">
        <v>10</v>
      </c>
      <c r="G784" s="31" t="s">
        <v>2011</v>
      </c>
      <c r="H784" s="77" t="s">
        <v>2224</v>
      </c>
      <c r="I784" s="31">
        <f>VLOOKUP(H784,PACOTES!B:E,4,FALSE)</f>
        <v>2</v>
      </c>
      <c r="J784" s="77" t="s">
        <v>134</v>
      </c>
      <c r="K784" s="32">
        <v>4400</v>
      </c>
      <c r="L784" s="32">
        <v>4400</v>
      </c>
      <c r="M784" s="108">
        <v>0</v>
      </c>
      <c r="N784" s="32"/>
      <c r="O784" s="32"/>
      <c r="P784" s="32"/>
    </row>
    <row r="785" spans="1:16" s="4" customFormat="1">
      <c r="A785" s="57">
        <v>274</v>
      </c>
      <c r="B785" s="37">
        <v>45953</v>
      </c>
      <c r="C785" s="28">
        <v>45973</v>
      </c>
      <c r="D785" s="29" t="s">
        <v>1889</v>
      </c>
      <c r="E785" s="35">
        <v>21987387559</v>
      </c>
      <c r="F785" s="31" t="s">
        <v>10</v>
      </c>
      <c r="G785" s="31" t="s">
        <v>1498</v>
      </c>
      <c r="H785" s="77" t="s">
        <v>2225</v>
      </c>
      <c r="I785" s="31">
        <f>VLOOKUP(H785,PACOTES!B:E,4,FALSE)</f>
        <v>1</v>
      </c>
      <c r="J785" s="77" t="s">
        <v>134</v>
      </c>
      <c r="K785" s="32">
        <v>3700</v>
      </c>
      <c r="L785" s="32">
        <v>3700</v>
      </c>
      <c r="M785" s="108">
        <v>0</v>
      </c>
      <c r="N785" s="32"/>
      <c r="O785" s="32"/>
      <c r="P785" s="32"/>
    </row>
    <row r="786" spans="1:16" s="4" customFormat="1">
      <c r="A786" s="57">
        <v>274</v>
      </c>
      <c r="B786" s="37">
        <v>45953</v>
      </c>
      <c r="C786" s="28">
        <v>45973</v>
      </c>
      <c r="D786" s="29" t="s">
        <v>1889</v>
      </c>
      <c r="E786" s="35">
        <v>21987387559</v>
      </c>
      <c r="F786" s="31" t="s">
        <v>10</v>
      </c>
      <c r="G786" s="31" t="s">
        <v>1498</v>
      </c>
      <c r="H786" s="77" t="s">
        <v>2225</v>
      </c>
      <c r="I786" s="31">
        <f>VLOOKUP(H786,PACOTES!B:E,4,FALSE)</f>
        <v>1</v>
      </c>
      <c r="J786" s="77" t="s">
        <v>134</v>
      </c>
      <c r="K786" s="32">
        <v>3700</v>
      </c>
      <c r="L786" s="32">
        <v>3700</v>
      </c>
      <c r="M786" s="108">
        <v>0</v>
      </c>
      <c r="N786" s="32"/>
      <c r="O786" s="32"/>
      <c r="P786" s="32"/>
    </row>
    <row r="787" spans="1:16" s="4" customFormat="1">
      <c r="A787" s="57">
        <v>342</v>
      </c>
      <c r="B787" s="37">
        <v>45953</v>
      </c>
      <c r="C787" s="28">
        <v>45973</v>
      </c>
      <c r="D787" s="29" t="s">
        <v>1995</v>
      </c>
      <c r="E787" s="35">
        <v>21994938847</v>
      </c>
      <c r="F787" s="31" t="s">
        <v>10</v>
      </c>
      <c r="G787" s="31" t="s">
        <v>1997</v>
      </c>
      <c r="H787" s="77" t="s">
        <v>2226</v>
      </c>
      <c r="I787" s="31">
        <f>VLOOKUP(H787,PACOTES!B:E,4,FALSE)</f>
        <v>0</v>
      </c>
      <c r="J787" s="77" t="s">
        <v>134</v>
      </c>
      <c r="K787" s="32">
        <v>3700</v>
      </c>
      <c r="L787" s="32">
        <v>3700</v>
      </c>
      <c r="M787" s="108">
        <v>0</v>
      </c>
      <c r="N787" s="32"/>
      <c r="O787" s="32"/>
      <c r="P787" s="32"/>
    </row>
    <row r="788" spans="1:16" s="4" customFormat="1">
      <c r="A788" s="57">
        <v>521</v>
      </c>
      <c r="B788" s="37">
        <v>45958</v>
      </c>
      <c r="C788" s="28">
        <v>45988</v>
      </c>
      <c r="D788" s="29" t="s">
        <v>1477</v>
      </c>
      <c r="E788" s="35">
        <v>54984066565</v>
      </c>
      <c r="F788" s="31" t="s">
        <v>9</v>
      </c>
      <c r="G788" s="31" t="s">
        <v>1481</v>
      </c>
      <c r="H788" s="77" t="s">
        <v>2225</v>
      </c>
      <c r="I788" s="31">
        <f>VLOOKUP(H788,PACOTES!B:E,4,FALSE)</f>
        <v>1</v>
      </c>
      <c r="J788" s="77" t="s">
        <v>134</v>
      </c>
      <c r="K788" s="32">
        <v>5000</v>
      </c>
      <c r="L788" s="32">
        <v>5000</v>
      </c>
      <c r="M788" s="108">
        <v>0</v>
      </c>
      <c r="N788" s="32"/>
      <c r="O788" s="32"/>
      <c r="P788" s="32"/>
    </row>
    <row r="789" spans="1:16" s="4" customFormat="1">
      <c r="A789" s="57">
        <v>352</v>
      </c>
      <c r="B789" s="37">
        <v>45964</v>
      </c>
      <c r="C789" s="28">
        <v>45984</v>
      </c>
      <c r="D789" s="29" t="s">
        <v>1969</v>
      </c>
      <c r="E789" s="35">
        <v>21995660797</v>
      </c>
      <c r="F789" s="31" t="s">
        <v>10</v>
      </c>
      <c r="G789" s="31" t="s">
        <v>2011</v>
      </c>
      <c r="H789" s="77" t="s">
        <v>2224</v>
      </c>
      <c r="I789" s="31">
        <f>VLOOKUP(H789,PACOTES!B:E,4,FALSE)</f>
        <v>2</v>
      </c>
      <c r="J789" s="77" t="s">
        <v>134</v>
      </c>
      <c r="K789" s="32">
        <v>4400</v>
      </c>
      <c r="L789" s="32">
        <v>4400</v>
      </c>
      <c r="M789" s="108">
        <v>0</v>
      </c>
      <c r="N789" s="32"/>
      <c r="O789" s="32"/>
      <c r="P789" s="32"/>
    </row>
    <row r="790" spans="1:16" s="4" customFormat="1">
      <c r="A790" s="57">
        <v>79</v>
      </c>
      <c r="B790" s="37">
        <v>45968</v>
      </c>
      <c r="C790" s="28">
        <v>45988</v>
      </c>
      <c r="D790" s="29" t="s">
        <v>1265</v>
      </c>
      <c r="E790" s="35">
        <v>21968668137</v>
      </c>
      <c r="F790" s="31" t="s">
        <v>10</v>
      </c>
      <c r="G790" s="31" t="s">
        <v>1498</v>
      </c>
      <c r="H790" s="77" t="s">
        <v>2225</v>
      </c>
      <c r="I790" s="31">
        <f>VLOOKUP(H790,PACOTES!B:E,4,FALSE)</f>
        <v>1</v>
      </c>
      <c r="J790" s="77" t="s">
        <v>134</v>
      </c>
      <c r="K790" s="32">
        <v>3700</v>
      </c>
      <c r="L790" s="32">
        <v>3700</v>
      </c>
      <c r="M790" s="108">
        <v>0</v>
      </c>
      <c r="N790" s="32"/>
      <c r="O790" s="32"/>
      <c r="P790" s="32"/>
    </row>
    <row r="791" spans="1:16" s="20" customFormat="1">
      <c r="A791" s="57">
        <v>548</v>
      </c>
      <c r="B791" s="37">
        <v>45972</v>
      </c>
      <c r="C791" s="28">
        <v>45987</v>
      </c>
      <c r="D791" s="29" t="s">
        <v>1568</v>
      </c>
      <c r="E791" s="35">
        <v>83986400080</v>
      </c>
      <c r="F791" s="31" t="s">
        <v>11</v>
      </c>
      <c r="G791" s="31" t="s">
        <v>1569</v>
      </c>
      <c r="H791" s="77" t="s">
        <v>2225</v>
      </c>
      <c r="I791" s="31">
        <f>VLOOKUP(H791,PACOTES!B:E,4,FALSE)</f>
        <v>1</v>
      </c>
      <c r="J791" s="77" t="s">
        <v>134</v>
      </c>
      <c r="K791" s="32">
        <v>2820</v>
      </c>
      <c r="L791" s="32">
        <v>2820</v>
      </c>
      <c r="M791" s="108">
        <v>0</v>
      </c>
      <c r="N791" s="32"/>
      <c r="O791" s="32"/>
      <c r="P791" s="32"/>
    </row>
    <row r="792" spans="1:16" s="17" customFormat="1">
      <c r="A792" s="57">
        <v>17</v>
      </c>
      <c r="B792" s="37">
        <v>45973</v>
      </c>
      <c r="C792" s="37">
        <v>45993</v>
      </c>
      <c r="D792" s="29" t="s">
        <v>1246</v>
      </c>
      <c r="E792" s="35">
        <v>21964196456</v>
      </c>
      <c r="F792" s="31" t="s">
        <v>10</v>
      </c>
      <c r="G792" s="31" t="s">
        <v>1247</v>
      </c>
      <c r="H792" s="77" t="s">
        <v>2225</v>
      </c>
      <c r="I792" s="31">
        <f>VLOOKUP(H792,PACOTES!B:E,4,FALSE)</f>
        <v>1</v>
      </c>
      <c r="J792" s="77" t="s">
        <v>134</v>
      </c>
      <c r="K792" s="32">
        <v>3900</v>
      </c>
      <c r="L792" s="32">
        <v>3900</v>
      </c>
      <c r="M792" s="108">
        <v>0</v>
      </c>
      <c r="N792" s="32"/>
      <c r="O792" s="32"/>
      <c r="P792" s="32"/>
    </row>
    <row r="793" spans="1:16" s="4" customFormat="1">
      <c r="A793" s="57">
        <v>24</v>
      </c>
      <c r="B793" s="37">
        <v>45973</v>
      </c>
      <c r="C793" s="28">
        <v>45989</v>
      </c>
      <c r="D793" s="29" t="s">
        <v>1274</v>
      </c>
      <c r="E793" s="35">
        <v>21964326090</v>
      </c>
      <c r="F793" s="31" t="s">
        <v>10</v>
      </c>
      <c r="G793" s="31" t="s">
        <v>1275</v>
      </c>
      <c r="H793" s="77" t="s">
        <v>2225</v>
      </c>
      <c r="I793" s="31">
        <f>VLOOKUP(H793,PACOTES!B:E,4,FALSE)</f>
        <v>1</v>
      </c>
      <c r="J793" s="77" t="s">
        <v>134</v>
      </c>
      <c r="K793" s="32">
        <v>3900</v>
      </c>
      <c r="L793" s="32">
        <v>3900</v>
      </c>
      <c r="M793" s="108">
        <v>0</v>
      </c>
      <c r="N793" s="32"/>
      <c r="O793" s="32"/>
      <c r="P793" s="32"/>
    </row>
    <row r="794" spans="1:16" s="2" customFormat="1">
      <c r="A794" s="62">
        <v>269</v>
      </c>
      <c r="B794" s="53">
        <v>45978</v>
      </c>
      <c r="C794" s="53">
        <v>45989</v>
      </c>
      <c r="D794" s="29" t="s">
        <v>1875</v>
      </c>
      <c r="E794" s="30">
        <v>21986944860</v>
      </c>
      <c r="F794" s="33" t="s">
        <v>10</v>
      </c>
      <c r="G794" s="33" t="s">
        <v>1877</v>
      </c>
      <c r="H794" s="77" t="s">
        <v>2225</v>
      </c>
      <c r="I794" s="31">
        <f>VLOOKUP(H794,PACOTES!B:E,4,FALSE)</f>
        <v>1</v>
      </c>
      <c r="J794" s="77" t="s">
        <v>134</v>
      </c>
      <c r="K794" s="52">
        <v>3900</v>
      </c>
      <c r="L794" s="52">
        <v>3900</v>
      </c>
      <c r="M794" s="108">
        <v>0</v>
      </c>
      <c r="N794" s="52"/>
      <c r="O794" s="52"/>
      <c r="P794" s="52"/>
    </row>
    <row r="795" spans="1:16" s="24" customFormat="1">
      <c r="A795" s="62">
        <v>236</v>
      </c>
      <c r="B795" s="53">
        <v>45982</v>
      </c>
      <c r="C795" s="53">
        <v>45989</v>
      </c>
      <c r="D795" s="50" t="s">
        <v>1811</v>
      </c>
      <c r="E795" s="51">
        <v>21982854491</v>
      </c>
      <c r="F795" s="33" t="s">
        <v>10</v>
      </c>
      <c r="G795" s="33" t="s">
        <v>1812</v>
      </c>
      <c r="H795" s="77" t="s">
        <v>2225</v>
      </c>
      <c r="I795" s="31">
        <f>VLOOKUP(H795,PACOTES!B:E,4,FALSE)</f>
        <v>1</v>
      </c>
      <c r="J795" s="77" t="s">
        <v>134</v>
      </c>
      <c r="K795" s="52">
        <v>3700</v>
      </c>
      <c r="L795" s="52">
        <v>3700</v>
      </c>
      <c r="M795" s="108">
        <v>0</v>
      </c>
      <c r="N795" s="52"/>
      <c r="O795" s="52"/>
      <c r="P795" s="52"/>
    </row>
    <row r="796" spans="1:16" s="2" customFormat="1">
      <c r="A796" s="62">
        <v>377</v>
      </c>
      <c r="B796" s="53">
        <v>45991</v>
      </c>
      <c r="C796" s="53">
        <v>46011</v>
      </c>
      <c r="D796" s="50" t="s">
        <v>1429</v>
      </c>
      <c r="E796" s="51">
        <v>21997254914</v>
      </c>
      <c r="F796" s="33" t="s">
        <v>10</v>
      </c>
      <c r="G796" s="33" t="s">
        <v>1551</v>
      </c>
      <c r="H796" s="77" t="s">
        <v>2225</v>
      </c>
      <c r="I796" s="31">
        <f>VLOOKUP(H796,PACOTES!B:E,4,FALSE)</f>
        <v>1</v>
      </c>
      <c r="J796" s="77" t="s">
        <v>134</v>
      </c>
      <c r="K796" s="52">
        <v>4400</v>
      </c>
      <c r="L796" s="52">
        <v>4400</v>
      </c>
      <c r="M796" s="108">
        <v>0</v>
      </c>
      <c r="N796" s="52"/>
      <c r="O796" s="52"/>
      <c r="P796" s="52"/>
    </row>
    <row r="797" spans="1:16" s="2" customFormat="1">
      <c r="A797" s="62">
        <v>234</v>
      </c>
      <c r="B797" s="53">
        <v>45993</v>
      </c>
      <c r="C797" s="53">
        <v>46015</v>
      </c>
      <c r="D797" s="50" t="s">
        <v>1808</v>
      </c>
      <c r="E797" s="51">
        <v>21982800865</v>
      </c>
      <c r="F797" s="33" t="s">
        <v>10</v>
      </c>
      <c r="G797" s="33" t="s">
        <v>1809</v>
      </c>
      <c r="H797" s="77" t="s">
        <v>2225</v>
      </c>
      <c r="I797" s="31">
        <f>VLOOKUP(H797,PACOTES!B:E,4,FALSE)</f>
        <v>1</v>
      </c>
      <c r="J797" s="77" t="s">
        <v>134</v>
      </c>
      <c r="K797" s="52">
        <v>4400</v>
      </c>
      <c r="L797" s="52">
        <v>4400</v>
      </c>
      <c r="M797" s="108">
        <v>0</v>
      </c>
      <c r="N797" s="52"/>
      <c r="O797" s="52"/>
      <c r="P797" s="52"/>
    </row>
    <row r="798" spans="1:16" s="23" customFormat="1">
      <c r="A798" s="62">
        <v>245</v>
      </c>
      <c r="B798" s="53">
        <v>45993</v>
      </c>
      <c r="C798" s="53">
        <v>46013</v>
      </c>
      <c r="D798" s="50" t="s">
        <v>1831</v>
      </c>
      <c r="E798" s="51">
        <v>21983754247</v>
      </c>
      <c r="F798" s="33" t="s">
        <v>10</v>
      </c>
      <c r="G798" s="33" t="s">
        <v>1551</v>
      </c>
      <c r="H798" s="77" t="s">
        <v>2225</v>
      </c>
      <c r="I798" s="31">
        <f>VLOOKUP(H798,PACOTES!B:E,4,FALSE)</f>
        <v>1</v>
      </c>
      <c r="J798" s="77" t="s">
        <v>134</v>
      </c>
      <c r="K798" s="52">
        <v>4400</v>
      </c>
      <c r="L798" s="52">
        <v>4400</v>
      </c>
      <c r="M798" s="108">
        <v>0</v>
      </c>
      <c r="N798" s="52"/>
      <c r="O798" s="52"/>
      <c r="P798" s="52"/>
    </row>
    <row r="799" spans="1:16" s="2" customFormat="1">
      <c r="A799" s="62">
        <v>449</v>
      </c>
      <c r="B799" s="53">
        <v>45995</v>
      </c>
      <c r="C799" s="53">
        <v>46015</v>
      </c>
      <c r="D799" s="50" t="s">
        <v>1184</v>
      </c>
      <c r="E799" s="51">
        <v>11939527445</v>
      </c>
      <c r="F799" s="33" t="s">
        <v>10</v>
      </c>
      <c r="G799" s="33" t="s">
        <v>1185</v>
      </c>
      <c r="H799" s="77" t="s">
        <v>2225</v>
      </c>
      <c r="I799" s="31">
        <f>VLOOKUP(H799,PACOTES!B:E,4,FALSE)</f>
        <v>1</v>
      </c>
      <c r="J799" s="77" t="s">
        <v>134</v>
      </c>
      <c r="K799" s="52">
        <v>4400</v>
      </c>
      <c r="L799" s="52">
        <v>4400</v>
      </c>
      <c r="M799" s="108">
        <v>0</v>
      </c>
      <c r="N799" s="52"/>
      <c r="O799" s="52"/>
      <c r="P799" s="52"/>
    </row>
    <row r="800" spans="1:16" s="24" customFormat="1">
      <c r="A800" s="57">
        <v>76</v>
      </c>
      <c r="B800" s="37">
        <v>45996</v>
      </c>
      <c r="C800" s="37">
        <v>45996</v>
      </c>
      <c r="D800" s="29" t="s">
        <v>1488</v>
      </c>
      <c r="E800" s="35">
        <v>21967951519</v>
      </c>
      <c r="F800" s="31" t="s">
        <v>11</v>
      </c>
      <c r="G800" s="31" t="s">
        <v>1490</v>
      </c>
      <c r="H800" s="77" t="s">
        <v>2225</v>
      </c>
      <c r="I800" s="31">
        <f>VLOOKUP(H800,PACOTES!B:E,4,FALSE)</f>
        <v>1</v>
      </c>
      <c r="J800" s="77" t="s">
        <v>134</v>
      </c>
      <c r="K800" s="32">
        <v>2700</v>
      </c>
      <c r="L800" s="32">
        <v>2700</v>
      </c>
      <c r="M800" s="108">
        <v>0</v>
      </c>
      <c r="N800" s="32"/>
      <c r="O800" s="32"/>
      <c r="P800" s="32"/>
    </row>
    <row r="801" spans="1:16" s="2" customFormat="1">
      <c r="A801" s="62">
        <v>125</v>
      </c>
      <c r="B801" s="53">
        <v>46000</v>
      </c>
      <c r="C801" s="53">
        <v>46015</v>
      </c>
      <c r="D801" s="50" t="s">
        <v>1630</v>
      </c>
      <c r="E801" s="51">
        <v>21971863581</v>
      </c>
      <c r="F801" s="33" t="s">
        <v>10</v>
      </c>
      <c r="G801" s="33" t="s">
        <v>1631</v>
      </c>
      <c r="H801" s="77" t="s">
        <v>2225</v>
      </c>
      <c r="I801" s="31">
        <f>VLOOKUP(H801,PACOTES!B:E,4,FALSE)</f>
        <v>1</v>
      </c>
      <c r="J801" s="77" t="s">
        <v>134</v>
      </c>
      <c r="K801" s="52">
        <v>4550</v>
      </c>
      <c r="L801" s="52">
        <v>4550</v>
      </c>
      <c r="M801" s="108">
        <v>0</v>
      </c>
      <c r="N801" s="52"/>
      <c r="O801" s="52"/>
      <c r="P801" s="52"/>
    </row>
    <row r="802" spans="1:16" s="2" customFormat="1">
      <c r="A802" s="62">
        <v>3</v>
      </c>
      <c r="B802" s="53">
        <v>46006</v>
      </c>
      <c r="C802" s="53">
        <v>46013</v>
      </c>
      <c r="D802" s="50" t="s">
        <v>1192</v>
      </c>
      <c r="E802" s="51">
        <v>21960177255</v>
      </c>
      <c r="F802" s="33" t="s">
        <v>10</v>
      </c>
      <c r="G802" s="33" t="s">
        <v>1193</v>
      </c>
      <c r="H802" s="77" t="s">
        <v>2225</v>
      </c>
      <c r="I802" s="31">
        <f>VLOOKUP(H802,PACOTES!B:E,4,FALSE)</f>
        <v>1</v>
      </c>
      <c r="J802" s="77" t="s">
        <v>134</v>
      </c>
      <c r="K802" s="52">
        <v>3900</v>
      </c>
      <c r="L802" s="52">
        <v>3900</v>
      </c>
      <c r="M802" s="108">
        <v>0</v>
      </c>
      <c r="N802" s="52"/>
      <c r="O802" s="52"/>
      <c r="P802" s="52"/>
    </row>
    <row r="803" spans="1:16" s="2" customFormat="1">
      <c r="A803" s="62">
        <v>366</v>
      </c>
      <c r="B803" s="53">
        <v>46006</v>
      </c>
      <c r="C803" s="53">
        <v>46020</v>
      </c>
      <c r="D803" s="50" t="s">
        <v>1730</v>
      </c>
      <c r="E803" s="51">
        <v>21996584245</v>
      </c>
      <c r="F803" s="33" t="s">
        <v>10</v>
      </c>
      <c r="G803" s="33" t="s">
        <v>1193</v>
      </c>
      <c r="H803" s="77" t="s">
        <v>2225</v>
      </c>
      <c r="I803" s="31">
        <f>VLOOKUP(H803,PACOTES!B:E,4,FALSE)</f>
        <v>1</v>
      </c>
      <c r="J803" s="77" t="s">
        <v>134</v>
      </c>
      <c r="K803" s="52">
        <v>3900</v>
      </c>
      <c r="L803" s="52">
        <v>3900</v>
      </c>
      <c r="M803" s="108">
        <v>0</v>
      </c>
      <c r="N803" s="52"/>
      <c r="O803" s="52"/>
      <c r="P803" s="52"/>
    </row>
    <row r="804" spans="1:16" s="2" customFormat="1">
      <c r="A804" s="57">
        <v>124</v>
      </c>
      <c r="B804" s="37">
        <v>46009</v>
      </c>
      <c r="C804" s="28">
        <v>46011</v>
      </c>
      <c r="D804" s="29" t="s">
        <v>1258</v>
      </c>
      <c r="E804" s="88">
        <v>21971771212</v>
      </c>
      <c r="F804" s="31" t="s">
        <v>11</v>
      </c>
      <c r="G804" s="31" t="s">
        <v>1629</v>
      </c>
      <c r="H804" s="77" t="s">
        <v>2225</v>
      </c>
      <c r="I804" s="31">
        <f>VLOOKUP(H804,PACOTES!B:E,4,FALSE)</f>
        <v>1</v>
      </c>
      <c r="J804" s="77" t="s">
        <v>134</v>
      </c>
      <c r="K804" s="32">
        <v>2900</v>
      </c>
      <c r="L804" s="32">
        <v>2900</v>
      </c>
      <c r="M804" s="108">
        <v>0</v>
      </c>
      <c r="N804" s="32"/>
      <c r="O804" s="32"/>
      <c r="P804" s="32"/>
    </row>
    <row r="805" spans="1:16" s="2" customFormat="1">
      <c r="A805" s="62">
        <v>403</v>
      </c>
      <c r="B805" s="53">
        <v>46009</v>
      </c>
      <c r="C805" s="53">
        <v>46020</v>
      </c>
      <c r="D805" s="50" t="s">
        <v>1863</v>
      </c>
      <c r="E805" s="51">
        <v>21999868999</v>
      </c>
      <c r="F805" s="33" t="s">
        <v>10</v>
      </c>
      <c r="G805" s="33" t="s">
        <v>2073</v>
      </c>
      <c r="H805" s="77" t="s">
        <v>2225</v>
      </c>
      <c r="I805" s="31">
        <f>VLOOKUP(H805,PACOTES!B:E,4,FALSE)</f>
        <v>1</v>
      </c>
      <c r="J805" s="77" t="s">
        <v>134</v>
      </c>
      <c r="K805" s="52">
        <v>4400</v>
      </c>
      <c r="L805" s="52">
        <v>4400</v>
      </c>
      <c r="M805" s="108">
        <v>0</v>
      </c>
      <c r="N805" s="52"/>
      <c r="O805" s="52"/>
      <c r="P805" s="52"/>
    </row>
    <row r="806" spans="1:16" s="2" customFormat="1">
      <c r="A806" s="62">
        <v>430</v>
      </c>
      <c r="B806" s="53">
        <v>46009</v>
      </c>
      <c r="C806" s="28">
        <v>46024</v>
      </c>
      <c r="D806" s="50" t="s">
        <v>2107</v>
      </c>
      <c r="E806" s="51">
        <v>22999845272</v>
      </c>
      <c r="F806" s="33" t="s">
        <v>10</v>
      </c>
      <c r="G806" s="33" t="s">
        <v>1942</v>
      </c>
      <c r="H806" s="77" t="s">
        <v>2225</v>
      </c>
      <c r="I806" s="31">
        <f>VLOOKUP(H806,PACOTES!B:E,4,FALSE)</f>
        <v>1</v>
      </c>
      <c r="J806" s="77" t="s">
        <v>134</v>
      </c>
      <c r="K806" s="52">
        <v>3900</v>
      </c>
      <c r="L806" s="52">
        <v>3900</v>
      </c>
      <c r="M806" s="108">
        <v>0</v>
      </c>
      <c r="N806" s="52"/>
      <c r="O806" s="52"/>
      <c r="P806" s="52"/>
    </row>
    <row r="807" spans="1:16" s="2" customFormat="1">
      <c r="A807" s="57">
        <v>90</v>
      </c>
      <c r="B807" s="37">
        <v>46028</v>
      </c>
      <c r="C807" s="28">
        <v>46043</v>
      </c>
      <c r="D807" s="29" t="s">
        <v>1536</v>
      </c>
      <c r="E807" s="35">
        <v>21969335806</v>
      </c>
      <c r="F807" s="33" t="s">
        <v>10</v>
      </c>
      <c r="G807" s="33" t="s">
        <v>1537</v>
      </c>
      <c r="H807" s="77" t="s">
        <v>2225</v>
      </c>
      <c r="I807" s="31">
        <f>VLOOKUP(H807,PACOTES!B:E,4,FALSE)</f>
        <v>1</v>
      </c>
      <c r="J807" s="77" t="s">
        <v>134</v>
      </c>
      <c r="K807" s="52">
        <v>3900</v>
      </c>
      <c r="L807" s="52">
        <v>3900</v>
      </c>
      <c r="M807" s="108">
        <v>0</v>
      </c>
      <c r="N807" s="52"/>
      <c r="O807" s="52"/>
      <c r="P807" s="52"/>
    </row>
    <row r="808" spans="1:16" s="2" customFormat="1">
      <c r="A808" s="57">
        <v>38</v>
      </c>
      <c r="B808" s="37">
        <v>46031</v>
      </c>
      <c r="C808" s="28">
        <v>46046</v>
      </c>
      <c r="D808" s="29" t="s">
        <v>1331</v>
      </c>
      <c r="E808" s="35">
        <v>21964630765</v>
      </c>
      <c r="F808" s="33" t="s">
        <v>10</v>
      </c>
      <c r="G808" s="33" t="s">
        <v>1335</v>
      </c>
      <c r="H808" s="77" t="s">
        <v>2225</v>
      </c>
      <c r="I808" s="31">
        <f>VLOOKUP(H808,PACOTES!B:E,4,FALSE)</f>
        <v>1</v>
      </c>
      <c r="J808" s="77" t="s">
        <v>134</v>
      </c>
      <c r="K808" s="52">
        <v>4400</v>
      </c>
      <c r="L808" s="52">
        <v>4400</v>
      </c>
      <c r="M808" s="108">
        <v>0</v>
      </c>
      <c r="N808" s="52"/>
      <c r="O808" s="52"/>
      <c r="P808" s="52"/>
    </row>
    <row r="809" spans="1:16" s="2" customFormat="1">
      <c r="A809" s="57">
        <v>344</v>
      </c>
      <c r="B809" s="37">
        <v>46032</v>
      </c>
      <c r="C809" s="28">
        <v>46047</v>
      </c>
      <c r="D809" s="29" t="s">
        <v>2000</v>
      </c>
      <c r="E809" s="35">
        <v>21995061081</v>
      </c>
      <c r="F809" s="31" t="s">
        <v>11</v>
      </c>
      <c r="G809" s="31" t="s">
        <v>2001</v>
      </c>
      <c r="H809" s="77" t="s">
        <v>2225</v>
      </c>
      <c r="I809" s="31">
        <f>VLOOKUP(H809,PACOTES!B:E,4,FALSE)</f>
        <v>1</v>
      </c>
      <c r="J809" s="77" t="s">
        <v>134</v>
      </c>
      <c r="K809" s="32">
        <v>2900</v>
      </c>
      <c r="L809" s="32">
        <v>2900</v>
      </c>
      <c r="M809" s="108">
        <v>0</v>
      </c>
      <c r="N809" s="32"/>
      <c r="O809" s="32"/>
      <c r="P809" s="32"/>
    </row>
    <row r="810" spans="1:16" s="2" customFormat="1">
      <c r="A810" s="57">
        <v>374</v>
      </c>
      <c r="B810" s="37">
        <v>46036</v>
      </c>
      <c r="C810" s="28">
        <v>46051</v>
      </c>
      <c r="D810" s="29" t="s">
        <v>1967</v>
      </c>
      <c r="E810" s="35">
        <v>21997020883</v>
      </c>
      <c r="F810" s="33" t="s">
        <v>10</v>
      </c>
      <c r="G810" s="33" t="s">
        <v>1551</v>
      </c>
      <c r="H810" s="77" t="s">
        <v>2225</v>
      </c>
      <c r="I810" s="31">
        <f>VLOOKUP(H810,PACOTES!B:E,4,FALSE)</f>
        <v>1</v>
      </c>
      <c r="J810" s="77" t="s">
        <v>134</v>
      </c>
      <c r="K810" s="52">
        <v>4400</v>
      </c>
      <c r="L810" s="52">
        <v>4400</v>
      </c>
      <c r="M810" s="108">
        <v>0</v>
      </c>
      <c r="N810" s="52"/>
      <c r="O810" s="52"/>
      <c r="P810" s="52"/>
    </row>
    <row r="811" spans="1:16" s="2" customFormat="1">
      <c r="A811" s="57">
        <v>30</v>
      </c>
      <c r="B811" s="37">
        <v>46043</v>
      </c>
      <c r="C811" s="28">
        <v>46058</v>
      </c>
      <c r="D811" s="29" t="s">
        <v>1301</v>
      </c>
      <c r="E811" s="35">
        <v>21964371514</v>
      </c>
      <c r="F811" s="31" t="s">
        <v>11</v>
      </c>
      <c r="G811" s="31" t="s">
        <v>1302</v>
      </c>
      <c r="H811" s="77" t="s">
        <v>2225</v>
      </c>
      <c r="I811" s="31">
        <f>VLOOKUP(H811,PACOTES!B:E,4,FALSE)</f>
        <v>1</v>
      </c>
      <c r="J811" s="77" t="s">
        <v>134</v>
      </c>
      <c r="K811" s="32">
        <v>2900</v>
      </c>
      <c r="L811" s="32">
        <v>2900</v>
      </c>
      <c r="M811" s="108">
        <v>0</v>
      </c>
      <c r="N811" s="32"/>
      <c r="O811" s="32"/>
      <c r="P811" s="32"/>
    </row>
    <row r="812" spans="1:16" s="26" customFormat="1">
      <c r="A812" s="57">
        <v>448</v>
      </c>
      <c r="B812" s="37">
        <v>46047</v>
      </c>
      <c r="C812" s="28">
        <v>46062</v>
      </c>
      <c r="D812" s="29" t="s">
        <v>1671</v>
      </c>
      <c r="E812" s="35">
        <v>21974079920</v>
      </c>
      <c r="F812" s="33" t="s">
        <v>10</v>
      </c>
      <c r="G812" s="33" t="s">
        <v>1672</v>
      </c>
      <c r="H812" s="77" t="s">
        <v>2225</v>
      </c>
      <c r="I812" s="31">
        <f>VLOOKUP(H812,PACOTES!B:E,4,FALSE)</f>
        <v>1</v>
      </c>
      <c r="J812" s="77" t="s">
        <v>134</v>
      </c>
      <c r="K812" s="52">
        <v>4400</v>
      </c>
      <c r="L812" s="52">
        <v>4400</v>
      </c>
      <c r="M812" s="108">
        <v>0</v>
      </c>
      <c r="N812" s="106" t="s">
        <v>2257</v>
      </c>
      <c r="O812" s="106" t="s">
        <v>135</v>
      </c>
      <c r="P812" s="106" t="s">
        <v>135</v>
      </c>
    </row>
    <row r="813" spans="1:16" s="2" customFormat="1">
      <c r="A813" s="57">
        <v>384</v>
      </c>
      <c r="B813" s="37">
        <v>46048</v>
      </c>
      <c r="C813" s="28">
        <v>46063</v>
      </c>
      <c r="D813" s="29" t="s">
        <v>1300</v>
      </c>
      <c r="E813" s="35">
        <v>21997778461</v>
      </c>
      <c r="F813" s="33" t="s">
        <v>10</v>
      </c>
      <c r="G813" s="33" t="s">
        <v>2053</v>
      </c>
      <c r="H813" s="77" t="s">
        <v>2225</v>
      </c>
      <c r="I813" s="31">
        <f>VLOOKUP(H813,PACOTES!B:E,4,FALSE)</f>
        <v>1</v>
      </c>
      <c r="J813" s="77" t="s">
        <v>134</v>
      </c>
      <c r="K813" s="52">
        <v>4400</v>
      </c>
      <c r="L813" s="52">
        <v>4400</v>
      </c>
      <c r="M813" s="108">
        <v>0</v>
      </c>
      <c r="N813" s="52"/>
      <c r="O813" s="52"/>
      <c r="P813" s="52"/>
    </row>
    <row r="814" spans="1:16" s="2" customFormat="1">
      <c r="A814" s="57">
        <v>384</v>
      </c>
      <c r="B814" s="37">
        <v>46048</v>
      </c>
      <c r="C814" s="28">
        <v>46063</v>
      </c>
      <c r="D814" s="29" t="s">
        <v>1300</v>
      </c>
      <c r="E814" s="35">
        <v>21997778461</v>
      </c>
      <c r="F814" s="33" t="s">
        <v>10</v>
      </c>
      <c r="G814" s="33" t="s">
        <v>2053</v>
      </c>
      <c r="H814" s="77" t="s">
        <v>2225</v>
      </c>
      <c r="I814" s="31">
        <f>VLOOKUP(H814,PACOTES!B:E,4,FALSE)</f>
        <v>1</v>
      </c>
      <c r="J814" s="77" t="s">
        <v>134</v>
      </c>
      <c r="K814" s="52">
        <v>4400</v>
      </c>
      <c r="L814" s="52">
        <v>4400</v>
      </c>
      <c r="M814" s="108">
        <v>0</v>
      </c>
      <c r="N814" s="52"/>
      <c r="O814" s="52"/>
      <c r="P814" s="52"/>
    </row>
    <row r="815" spans="1:16" s="2" customFormat="1">
      <c r="A815" s="57">
        <v>384</v>
      </c>
      <c r="B815" s="37">
        <v>46048</v>
      </c>
      <c r="C815" s="28">
        <v>46063</v>
      </c>
      <c r="D815" s="29" t="s">
        <v>1300</v>
      </c>
      <c r="E815" s="35">
        <v>21997778461</v>
      </c>
      <c r="F815" s="33" t="s">
        <v>10</v>
      </c>
      <c r="G815" s="33" t="s">
        <v>2053</v>
      </c>
      <c r="H815" s="77" t="s">
        <v>2225</v>
      </c>
      <c r="I815" s="31">
        <f>VLOOKUP(H815,PACOTES!B:E,4,FALSE)</f>
        <v>1</v>
      </c>
      <c r="J815" s="77" t="s">
        <v>134</v>
      </c>
      <c r="K815" s="52">
        <v>4400</v>
      </c>
      <c r="L815" s="52">
        <v>4400</v>
      </c>
      <c r="M815" s="108">
        <v>0</v>
      </c>
      <c r="N815" s="52"/>
      <c r="O815" s="52"/>
      <c r="P815" s="52"/>
    </row>
    <row r="816" spans="1:16" s="2" customFormat="1">
      <c r="A816" s="57">
        <v>516</v>
      </c>
      <c r="B816" s="37">
        <v>46058</v>
      </c>
      <c r="C816" s="28">
        <v>46073</v>
      </c>
      <c r="D816" s="29" t="s">
        <v>1460</v>
      </c>
      <c r="E816" s="29">
        <v>51985719713</v>
      </c>
      <c r="F816" s="31" t="s">
        <v>11</v>
      </c>
      <c r="G816" s="31" t="s">
        <v>1461</v>
      </c>
      <c r="H816" s="77" t="s">
        <v>2225</v>
      </c>
      <c r="I816" s="31">
        <f>VLOOKUP(H816,PACOTES!B:E,4,FALSE)</f>
        <v>1</v>
      </c>
      <c r="J816" s="77" t="s">
        <v>134</v>
      </c>
      <c r="K816" s="32">
        <v>2900</v>
      </c>
      <c r="L816" s="32">
        <v>2900</v>
      </c>
      <c r="M816" s="108">
        <v>0</v>
      </c>
      <c r="N816" s="32"/>
      <c r="O816" s="32"/>
      <c r="P816" s="32"/>
    </row>
    <row r="817" spans="1:16" s="2" customFormat="1">
      <c r="A817" s="57">
        <v>151</v>
      </c>
      <c r="B817" s="37">
        <v>46058</v>
      </c>
      <c r="C817" s="28">
        <v>46073</v>
      </c>
      <c r="D817" s="29" t="s">
        <v>1365</v>
      </c>
      <c r="E817" s="35">
        <v>21974543839</v>
      </c>
      <c r="F817" s="33" t="s">
        <v>10</v>
      </c>
      <c r="G817" s="33" t="s">
        <v>1676</v>
      </c>
      <c r="H817" s="77" t="s">
        <v>2225</v>
      </c>
      <c r="I817" s="31">
        <f>VLOOKUP(H817,PACOTES!B:E,4,FALSE)</f>
        <v>1</v>
      </c>
      <c r="J817" s="77" t="s">
        <v>134</v>
      </c>
      <c r="K817" s="52">
        <v>3900</v>
      </c>
      <c r="L817" s="52">
        <v>3900</v>
      </c>
      <c r="M817" s="108">
        <v>0</v>
      </c>
      <c r="N817" s="52"/>
      <c r="O817" s="52"/>
      <c r="P817" s="52"/>
    </row>
    <row r="818" spans="1:16" s="2" customFormat="1">
      <c r="A818" s="57">
        <v>445</v>
      </c>
      <c r="B818" s="37">
        <v>46094</v>
      </c>
      <c r="C818" s="28">
        <v>46109</v>
      </c>
      <c r="D818" s="29" t="s">
        <v>2130</v>
      </c>
      <c r="E818" s="35">
        <v>24998426493</v>
      </c>
      <c r="F818" s="33" t="s">
        <v>10</v>
      </c>
      <c r="G818" s="33" t="s">
        <v>2131</v>
      </c>
      <c r="H818" s="77" t="s">
        <v>2225</v>
      </c>
      <c r="I818" s="31">
        <f>VLOOKUP(H818,PACOTES!B:E,4,FALSE)</f>
        <v>1</v>
      </c>
      <c r="J818" s="77" t="s">
        <v>134</v>
      </c>
      <c r="K818" s="52">
        <v>3900</v>
      </c>
      <c r="L818" s="52">
        <v>3900</v>
      </c>
      <c r="M818" s="108">
        <v>0</v>
      </c>
      <c r="N818" s="52"/>
      <c r="O818" s="52"/>
      <c r="P818" s="52"/>
    </row>
    <row r="819" spans="1:16" s="2" customFormat="1">
      <c r="A819" s="57">
        <v>77</v>
      </c>
      <c r="B819" s="37">
        <v>46108</v>
      </c>
      <c r="C819" s="28">
        <v>46128</v>
      </c>
      <c r="D819" s="29" t="s">
        <v>1492</v>
      </c>
      <c r="E819" s="35">
        <v>21968010121</v>
      </c>
      <c r="F819" s="33" t="s">
        <v>10</v>
      </c>
      <c r="G819" s="33" t="s">
        <v>1493</v>
      </c>
      <c r="H819" s="77" t="s">
        <v>2225</v>
      </c>
      <c r="I819" s="31">
        <f>VLOOKUP(H819,PACOTES!B:E,4,FALSE)</f>
        <v>1</v>
      </c>
      <c r="J819" s="77" t="s">
        <v>134</v>
      </c>
      <c r="K819" s="52">
        <v>4400</v>
      </c>
      <c r="L819" s="52">
        <v>4400</v>
      </c>
      <c r="M819" s="108">
        <v>0</v>
      </c>
      <c r="N819" s="52"/>
      <c r="O819" s="52"/>
      <c r="P819" s="52"/>
    </row>
    <row r="820" spans="1:16" s="23" customFormat="1">
      <c r="A820" s="57">
        <v>479</v>
      </c>
      <c r="B820" s="37">
        <v>46120</v>
      </c>
      <c r="C820" s="28">
        <v>46140</v>
      </c>
      <c r="D820" s="29" t="s">
        <v>1306</v>
      </c>
      <c r="E820" s="35">
        <v>16997112955</v>
      </c>
      <c r="F820" s="33" t="s">
        <v>10</v>
      </c>
      <c r="G820" s="33" t="s">
        <v>1307</v>
      </c>
      <c r="H820" s="77" t="s">
        <v>2225</v>
      </c>
      <c r="I820" s="31">
        <f>VLOOKUP(H820,PACOTES!B:E,4,FALSE)</f>
        <v>1</v>
      </c>
      <c r="J820" s="77" t="s">
        <v>134</v>
      </c>
      <c r="K820" s="52">
        <v>3900</v>
      </c>
      <c r="L820" s="52">
        <v>3900</v>
      </c>
      <c r="M820" s="108">
        <v>0</v>
      </c>
      <c r="N820" s="52"/>
      <c r="O820" s="52"/>
      <c r="P820" s="52"/>
    </row>
    <row r="821" spans="1:16" s="2" customFormat="1">
      <c r="A821" s="57">
        <v>66</v>
      </c>
      <c r="B821" s="37">
        <v>46120</v>
      </c>
      <c r="C821" s="28">
        <v>46140</v>
      </c>
      <c r="D821" s="29" t="s">
        <v>1315</v>
      </c>
      <c r="E821" s="35">
        <v>21966049525</v>
      </c>
      <c r="F821" s="33" t="s">
        <v>10</v>
      </c>
      <c r="G821" s="33" t="s">
        <v>1453</v>
      </c>
      <c r="H821" s="77" t="s">
        <v>2225</v>
      </c>
      <c r="I821" s="31">
        <f>VLOOKUP(H821,PACOTES!B:E,4,FALSE)</f>
        <v>1</v>
      </c>
      <c r="J821" s="77" t="s">
        <v>134</v>
      </c>
      <c r="K821" s="52">
        <v>3900</v>
      </c>
      <c r="L821" s="52">
        <v>3900</v>
      </c>
      <c r="M821" s="108">
        <v>0</v>
      </c>
      <c r="N821" s="52"/>
      <c r="O821" s="52"/>
      <c r="P821" s="52"/>
    </row>
    <row r="822" spans="1:16" s="23" customFormat="1">
      <c r="A822" s="57">
        <v>135</v>
      </c>
      <c r="B822" s="37">
        <v>46121</v>
      </c>
      <c r="C822" s="28">
        <v>46141</v>
      </c>
      <c r="D822" s="29" t="s">
        <v>1643</v>
      </c>
      <c r="E822" s="35">
        <v>21972744421</v>
      </c>
      <c r="F822" s="31" t="s">
        <v>9</v>
      </c>
      <c r="G822" s="33" t="s">
        <v>1645</v>
      </c>
      <c r="H822" s="77" t="s">
        <v>2225</v>
      </c>
      <c r="I822" s="31">
        <f>VLOOKUP(H822,PACOTES!B:E,4,FALSE)</f>
        <v>1</v>
      </c>
      <c r="J822" s="77" t="s">
        <v>134</v>
      </c>
      <c r="K822" s="52">
        <v>5000</v>
      </c>
      <c r="L822" s="52">
        <v>5000</v>
      </c>
      <c r="M822" s="108">
        <v>0</v>
      </c>
      <c r="N822" s="52"/>
      <c r="O822" s="52"/>
      <c r="P822" s="52"/>
    </row>
    <row r="823" spans="1:16" s="2" customFormat="1">
      <c r="A823" s="57">
        <v>561</v>
      </c>
      <c r="B823" s="37">
        <v>46121</v>
      </c>
      <c r="C823" s="28">
        <v>46141</v>
      </c>
      <c r="D823" s="29" t="s">
        <v>2021</v>
      </c>
      <c r="E823" s="31">
        <v>21988855154</v>
      </c>
      <c r="F823" s="33" t="s">
        <v>10</v>
      </c>
      <c r="G823" s="33" t="s">
        <v>2053</v>
      </c>
      <c r="H823" s="77" t="s">
        <v>2225</v>
      </c>
      <c r="I823" s="31">
        <f>VLOOKUP(H823,PACOTES!B:E,4,FALSE)</f>
        <v>1</v>
      </c>
      <c r="J823" s="77" t="s">
        <v>134</v>
      </c>
      <c r="K823" s="52">
        <v>4400</v>
      </c>
      <c r="L823" s="52">
        <v>4400</v>
      </c>
      <c r="M823" s="108">
        <v>0</v>
      </c>
      <c r="N823" s="52"/>
      <c r="O823" s="52"/>
      <c r="P823" s="52"/>
    </row>
    <row r="824" spans="1:16" s="2" customFormat="1">
      <c r="A824" s="57">
        <v>562</v>
      </c>
      <c r="B824" s="37">
        <v>46132</v>
      </c>
      <c r="C824" s="28">
        <v>46152</v>
      </c>
      <c r="D824" s="29" t="s">
        <v>2212</v>
      </c>
      <c r="E824" s="35">
        <v>21970202113</v>
      </c>
      <c r="F824" s="33" t="s">
        <v>10</v>
      </c>
      <c r="G824" s="33" t="s">
        <v>2213</v>
      </c>
      <c r="H824" s="77" t="s">
        <v>2225</v>
      </c>
      <c r="I824" s="31">
        <f>VLOOKUP(H824,PACOTES!B:E,4,FALSE)</f>
        <v>1</v>
      </c>
      <c r="J824" s="77" t="s">
        <v>134</v>
      </c>
      <c r="K824" s="52">
        <v>3900</v>
      </c>
      <c r="L824" s="52">
        <v>3900</v>
      </c>
      <c r="M824" s="108">
        <v>0</v>
      </c>
      <c r="N824" s="52"/>
      <c r="O824" s="52"/>
      <c r="P824" s="52"/>
    </row>
    <row r="825" spans="1:16" s="2" customFormat="1">
      <c r="A825" s="57">
        <v>72</v>
      </c>
      <c r="B825" s="37">
        <v>46141</v>
      </c>
      <c r="C825" s="28">
        <v>46142</v>
      </c>
      <c r="D825" s="29" t="s">
        <v>1475</v>
      </c>
      <c r="E825" s="29">
        <v>21967327332</v>
      </c>
      <c r="F825" s="31" t="s">
        <v>11</v>
      </c>
      <c r="G825" s="31" t="s">
        <v>1476</v>
      </c>
      <c r="H825" s="77" t="s">
        <v>2225</v>
      </c>
      <c r="I825" s="31">
        <f>VLOOKUP(H825,PACOTES!B:E,4,FALSE)</f>
        <v>1</v>
      </c>
      <c r="J825" s="77" t="s">
        <v>134</v>
      </c>
      <c r="K825" s="32">
        <v>2900</v>
      </c>
      <c r="L825" s="32">
        <v>2900</v>
      </c>
      <c r="M825" s="108">
        <v>0</v>
      </c>
      <c r="N825" s="32"/>
      <c r="O825" s="32"/>
      <c r="P825" s="32"/>
    </row>
    <row r="826" spans="1:16" s="26" customFormat="1">
      <c r="A826" s="57">
        <v>501</v>
      </c>
      <c r="B826" s="37">
        <v>46147</v>
      </c>
      <c r="C826" s="28">
        <v>46167</v>
      </c>
      <c r="D826" s="29" t="s">
        <v>1411</v>
      </c>
      <c r="E826" s="35">
        <v>37988278560</v>
      </c>
      <c r="F826" s="33" t="s">
        <v>10</v>
      </c>
      <c r="G826" s="33" t="s">
        <v>1412</v>
      </c>
      <c r="H826" s="77" t="s">
        <v>2225</v>
      </c>
      <c r="I826" s="31">
        <f>VLOOKUP(H826,PACOTES!B:E,4,FALSE)</f>
        <v>1</v>
      </c>
      <c r="J826" s="77" t="s">
        <v>134</v>
      </c>
      <c r="K826" s="52">
        <v>4400</v>
      </c>
      <c r="L826" s="52">
        <v>4400</v>
      </c>
      <c r="M826" s="108">
        <v>0</v>
      </c>
      <c r="N826" s="52"/>
      <c r="O826" s="52"/>
      <c r="P826" s="52"/>
    </row>
    <row r="827" spans="1:16" s="2" customFormat="1">
      <c r="A827" s="57">
        <v>560</v>
      </c>
      <c r="B827" s="37">
        <v>46147</v>
      </c>
      <c r="C827" s="37">
        <v>46191</v>
      </c>
      <c r="D827" s="29" t="s">
        <v>1411</v>
      </c>
      <c r="E827" s="35">
        <v>21987080182</v>
      </c>
      <c r="F827" s="31" t="s">
        <v>10</v>
      </c>
      <c r="G827" s="33" t="s">
        <v>1978</v>
      </c>
      <c r="H827" s="77" t="s">
        <v>2226</v>
      </c>
      <c r="I827" s="31">
        <f>VLOOKUP(H827,PACOTES!B:E,4,FALSE)</f>
        <v>0</v>
      </c>
      <c r="J827" s="77" t="s">
        <v>134</v>
      </c>
      <c r="K827" s="52">
        <v>4400</v>
      </c>
      <c r="L827" s="52">
        <v>4400</v>
      </c>
      <c r="M827" s="108">
        <v>0</v>
      </c>
      <c r="N827" s="106" t="s">
        <v>2258</v>
      </c>
      <c r="O827" s="106" t="s">
        <v>135</v>
      </c>
      <c r="P827" s="106" t="s">
        <v>135</v>
      </c>
    </row>
    <row r="828" spans="1:16" s="2" customFormat="1">
      <c r="A828" s="62">
        <v>342</v>
      </c>
      <c r="B828" s="53">
        <v>46156</v>
      </c>
      <c r="C828" s="53">
        <v>46176</v>
      </c>
      <c r="D828" s="50" t="s">
        <v>1995</v>
      </c>
      <c r="E828" s="51">
        <v>21994938847</v>
      </c>
      <c r="F828" s="33" t="s">
        <v>10</v>
      </c>
      <c r="G828" s="33" t="s">
        <v>1998</v>
      </c>
      <c r="H828" s="77" t="s">
        <v>2226</v>
      </c>
      <c r="I828" s="31">
        <f>VLOOKUP(H828,PACOTES!B:E,4,FALSE)</f>
        <v>0</v>
      </c>
      <c r="J828" s="77" t="s">
        <v>134</v>
      </c>
      <c r="K828" s="52">
        <v>3900</v>
      </c>
      <c r="L828" s="52">
        <v>3900</v>
      </c>
      <c r="M828" s="108">
        <v>0</v>
      </c>
      <c r="N828" s="52"/>
      <c r="O828" s="52"/>
      <c r="P828" s="52"/>
    </row>
    <row r="829" spans="1:16">
      <c r="A829" s="76" t="s">
        <v>2214</v>
      </c>
      <c r="B829" s="37">
        <v>46156</v>
      </c>
      <c r="C829" s="37">
        <v>46176</v>
      </c>
      <c r="D829" s="29" t="s">
        <v>1477</v>
      </c>
      <c r="E829" s="35">
        <v>21987080181</v>
      </c>
      <c r="F829" s="31" t="s">
        <v>7</v>
      </c>
      <c r="G829" s="33" t="s">
        <v>1353</v>
      </c>
      <c r="H829" s="77" t="s">
        <v>2214</v>
      </c>
      <c r="I829" s="31"/>
      <c r="J829" s="77" t="s">
        <v>2214</v>
      </c>
      <c r="K829" s="52">
        <v>3200</v>
      </c>
      <c r="L829" s="52">
        <v>3200</v>
      </c>
      <c r="M829" s="108">
        <v>0</v>
      </c>
      <c r="N829" s="104" t="s">
        <v>2214</v>
      </c>
      <c r="O829" s="52"/>
      <c r="P829" s="52"/>
    </row>
    <row r="830" spans="1:16">
      <c r="A830" s="68">
        <v>521</v>
      </c>
      <c r="B830" s="69">
        <v>46162</v>
      </c>
      <c r="C830" s="69"/>
      <c r="D830" s="70" t="s">
        <v>1477</v>
      </c>
      <c r="E830" s="71">
        <v>54984066565</v>
      </c>
      <c r="F830" s="72" t="s">
        <v>10</v>
      </c>
      <c r="G830" s="73" t="s">
        <v>1978</v>
      </c>
      <c r="H830" s="78" t="s">
        <v>2226</v>
      </c>
      <c r="I830" s="31">
        <f>VLOOKUP(H830,PACOTES!B:E,4,FALSE)</f>
        <v>0</v>
      </c>
      <c r="J830" s="78" t="s">
        <v>134</v>
      </c>
      <c r="K830" s="74">
        <v>4400</v>
      </c>
      <c r="L830" s="74">
        <v>4400</v>
      </c>
      <c r="M830" s="108">
        <v>0</v>
      </c>
      <c r="N830" s="74"/>
      <c r="O830" s="74"/>
      <c r="P830" s="74"/>
    </row>
    <row r="831" spans="1:16">
      <c r="A831" s="68">
        <v>359</v>
      </c>
      <c r="B831" s="69">
        <v>45734</v>
      </c>
      <c r="C831" s="69">
        <v>45735</v>
      </c>
      <c r="D831" s="70" t="s">
        <v>2021</v>
      </c>
      <c r="E831" s="71">
        <v>21996091581</v>
      </c>
      <c r="F831" s="72" t="s">
        <v>10</v>
      </c>
      <c r="G831" s="78" t="s">
        <v>1502</v>
      </c>
      <c r="H831" s="78" t="s">
        <v>2226</v>
      </c>
      <c r="I831" s="72">
        <f>VLOOKUP(H831,PACOTES!B:E,4,FALSE)</f>
        <v>0</v>
      </c>
      <c r="J831" s="78" t="s">
        <v>134</v>
      </c>
      <c r="K831" s="107">
        <v>4400</v>
      </c>
      <c r="L831" s="107">
        <v>4400</v>
      </c>
      <c r="M831" s="108">
        <v>0</v>
      </c>
      <c r="N831" s="108" t="s">
        <v>2253</v>
      </c>
      <c r="O831" s="108" t="s">
        <v>135</v>
      </c>
      <c r="P831" s="108" t="s">
        <v>135</v>
      </c>
    </row>
  </sheetData>
  <conditionalFormatting sqref="A2:A993">
    <cfRule type="expression" dxfId="1" priority="2">
      <formula>A2="VERIFICAR"</formula>
    </cfRule>
  </conditionalFormatting>
  <conditionalFormatting sqref="A831">
    <cfRule type="expression" dxfId="0" priority="1">
      <formula>A831="VERIFICAR"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E7"/>
  <sheetViews>
    <sheetView workbookViewId="0"/>
  </sheetViews>
  <sheetFormatPr defaultRowHeight="15"/>
  <cols>
    <col min="1" max="1" width="18.28515625" customWidth="1"/>
    <col min="2" max="2" width="19.5703125" customWidth="1"/>
    <col min="3" max="4" width="5" customWidth="1"/>
    <col min="5" max="5" width="10.7109375" customWidth="1"/>
    <col min="6" max="9" width="5" customWidth="1"/>
    <col min="10" max="10" width="10.7109375" customWidth="1"/>
    <col min="11" max="14" width="5" customWidth="1"/>
    <col min="15" max="15" width="10.7109375" customWidth="1"/>
  </cols>
  <sheetData>
    <row r="1" spans="1:5">
      <c r="A1" s="25"/>
      <c r="B1" s="25"/>
      <c r="C1" t="s">
        <v>0</v>
      </c>
    </row>
    <row r="2" spans="1:5">
      <c r="A2" s="25" t="s">
        <v>1</v>
      </c>
      <c r="C2" t="s">
        <v>0</v>
      </c>
      <c r="D2" t="s">
        <v>2</v>
      </c>
      <c r="E2" t="s">
        <v>3</v>
      </c>
    </row>
    <row r="3" spans="1:5">
      <c r="A3" s="14"/>
      <c r="B3">
        <v>832</v>
      </c>
      <c r="C3">
        <v>832</v>
      </c>
      <c r="D3">
        <v>13</v>
      </c>
      <c r="E3">
        <v>29</v>
      </c>
    </row>
    <row r="4" spans="1:5">
      <c r="A4" s="14" t="s">
        <v>0</v>
      </c>
      <c r="B4">
        <v>832</v>
      </c>
      <c r="C4">
        <v>832</v>
      </c>
      <c r="D4">
        <v>7</v>
      </c>
      <c r="E4">
        <v>45</v>
      </c>
    </row>
    <row r="5" spans="1:5">
      <c r="A5" s="14" t="s">
        <v>4</v>
      </c>
      <c r="B5">
        <v>38</v>
      </c>
      <c r="C5">
        <v>16</v>
      </c>
      <c r="E5">
        <v>54</v>
      </c>
    </row>
    <row r="6" spans="1:5">
      <c r="A6" s="14" t="s">
        <v>5</v>
      </c>
      <c r="B6">
        <v>54</v>
      </c>
      <c r="C6">
        <v>24</v>
      </c>
      <c r="E6">
        <v>78</v>
      </c>
    </row>
    <row r="7" spans="1:5">
      <c r="A7" s="14" t="s">
        <v>3</v>
      </c>
      <c r="B7">
        <v>124</v>
      </c>
      <c r="C7">
        <v>62</v>
      </c>
      <c r="D7">
        <v>20</v>
      </c>
      <c r="E7">
        <v>206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A80"/>
  <sheetViews>
    <sheetView topLeftCell="A7" workbookViewId="0">
      <selection activeCell="A40" sqref="A40"/>
    </sheetView>
  </sheetViews>
  <sheetFormatPr defaultRowHeight="15"/>
  <cols>
    <col min="1" max="1" width="115" customWidth="1"/>
  </cols>
  <sheetData>
    <row r="1" spans="1:1">
      <c r="A1" s="55" t="s">
        <v>14</v>
      </c>
    </row>
    <row r="2" spans="1:1">
      <c r="A2" s="56" t="s">
        <v>15</v>
      </c>
    </row>
    <row r="3" spans="1:1">
      <c r="A3" s="56" t="s">
        <v>16</v>
      </c>
    </row>
    <row r="4" spans="1:1">
      <c r="A4" s="56" t="s">
        <v>17</v>
      </c>
    </row>
    <row r="5" spans="1:1">
      <c r="A5" s="56" t="s">
        <v>18</v>
      </c>
    </row>
    <row r="6" spans="1:1">
      <c r="A6" s="56" t="s">
        <v>19</v>
      </c>
    </row>
    <row r="7" spans="1:1">
      <c r="A7" s="56" t="s">
        <v>20</v>
      </c>
    </row>
    <row r="8" spans="1:1">
      <c r="A8" s="56"/>
    </row>
    <row r="9" spans="1:1">
      <c r="A9" s="56" t="s">
        <v>21</v>
      </c>
    </row>
    <row r="10" spans="1:1">
      <c r="A10" s="56" t="s">
        <v>22</v>
      </c>
    </row>
    <row r="11" spans="1:1">
      <c r="A11" s="56"/>
    </row>
    <row r="12" spans="1:1">
      <c r="A12" s="56" t="s">
        <v>23</v>
      </c>
    </row>
    <row r="13" spans="1:1">
      <c r="A13" s="56" t="s">
        <v>24</v>
      </c>
    </row>
    <row r="14" spans="1:1">
      <c r="A14" s="56" t="s">
        <v>25</v>
      </c>
    </row>
    <row r="15" spans="1:1">
      <c r="A15" s="56"/>
    </row>
    <row r="16" spans="1:1">
      <c r="A16" s="56" t="s">
        <v>26</v>
      </c>
    </row>
    <row r="17" spans="1:1">
      <c r="A17" s="56" t="s">
        <v>27</v>
      </c>
    </row>
    <row r="18" spans="1:1">
      <c r="A18" s="56"/>
    </row>
    <row r="19" spans="1:1">
      <c r="A19" s="56" t="s">
        <v>28</v>
      </c>
    </row>
    <row r="20" spans="1:1">
      <c r="A20" s="56"/>
    </row>
    <row r="21" spans="1:1">
      <c r="A21" s="56" t="s">
        <v>29</v>
      </c>
    </row>
    <row r="22" spans="1:1">
      <c r="A22" s="56" t="s">
        <v>30</v>
      </c>
    </row>
    <row r="23" spans="1:1">
      <c r="A23" s="56"/>
    </row>
    <row r="24" spans="1:1">
      <c r="A24" s="56" t="s">
        <v>31</v>
      </c>
    </row>
    <row r="25" spans="1:1">
      <c r="A25" s="56" t="s">
        <v>32</v>
      </c>
    </row>
    <row r="26" spans="1:1">
      <c r="A26" s="56"/>
    </row>
    <row r="27" spans="1:1">
      <c r="A27" s="56" t="s">
        <v>33</v>
      </c>
    </row>
    <row r="28" spans="1:1">
      <c r="A28" s="56" t="s">
        <v>34</v>
      </c>
    </row>
    <row r="29" spans="1:1">
      <c r="A29" s="56"/>
    </row>
    <row r="30" spans="1:1">
      <c r="A30" s="56" t="s">
        <v>35</v>
      </c>
    </row>
    <row r="31" spans="1:1">
      <c r="A31" s="56"/>
    </row>
    <row r="32" spans="1:1">
      <c r="A32" s="56" t="s">
        <v>36</v>
      </c>
    </row>
    <row r="33" spans="1:1">
      <c r="A33" s="56" t="s">
        <v>37</v>
      </c>
    </row>
    <row r="34" spans="1:1">
      <c r="A34" s="56" t="s">
        <v>38</v>
      </c>
    </row>
    <row r="35" spans="1:1">
      <c r="A35" s="56"/>
    </row>
    <row r="36" spans="1:1">
      <c r="A36" s="56" t="s">
        <v>39</v>
      </c>
    </row>
    <row r="37" spans="1:1">
      <c r="A37" s="56" t="s">
        <v>40</v>
      </c>
    </row>
    <row r="38" spans="1:1">
      <c r="A38" s="56" t="s">
        <v>41</v>
      </c>
    </row>
    <row r="39" spans="1:1">
      <c r="A39" s="56"/>
    </row>
    <row r="40" spans="1:1">
      <c r="A40" s="56" t="s">
        <v>42</v>
      </c>
    </row>
    <row r="41" spans="1:1">
      <c r="A41" s="56"/>
    </row>
    <row r="42" spans="1:1">
      <c r="A42" s="56" t="s">
        <v>43</v>
      </c>
    </row>
    <row r="43" spans="1:1">
      <c r="A43" s="56"/>
    </row>
    <row r="44" spans="1:1">
      <c r="A44" s="56"/>
    </row>
    <row r="45" spans="1:1">
      <c r="A45" s="56"/>
    </row>
    <row r="46" spans="1:1">
      <c r="A46" s="56"/>
    </row>
    <row r="47" spans="1:1">
      <c r="A47" s="56"/>
    </row>
    <row r="48" spans="1:1">
      <c r="A48" s="56"/>
    </row>
    <row r="49" spans="1:1">
      <c r="A49" s="56"/>
    </row>
    <row r="50" spans="1:1">
      <c r="A50" s="56"/>
    </row>
    <row r="51" spans="1:1">
      <c r="A51" s="56"/>
    </row>
    <row r="52" spans="1:1">
      <c r="A52" s="56"/>
    </row>
    <row r="53" spans="1:1">
      <c r="A53" s="56"/>
    </row>
    <row r="54" spans="1:1">
      <c r="A54" s="56"/>
    </row>
    <row r="55" spans="1:1">
      <c r="A55" s="56"/>
    </row>
    <row r="56" spans="1:1">
      <c r="A56" s="56"/>
    </row>
    <row r="57" spans="1:1">
      <c r="A57" s="56"/>
    </row>
    <row r="58" spans="1:1">
      <c r="A58" s="56"/>
    </row>
    <row r="59" spans="1:1">
      <c r="A59" s="56"/>
    </row>
    <row r="60" spans="1:1">
      <c r="A60" s="56"/>
    </row>
    <row r="61" spans="1:1">
      <c r="A61" s="56"/>
    </row>
    <row r="62" spans="1:1">
      <c r="A62" s="56"/>
    </row>
    <row r="63" spans="1:1">
      <c r="A63" s="56"/>
    </row>
    <row r="64" spans="1:1">
      <c r="A64" s="56"/>
    </row>
    <row r="65" spans="1:1">
      <c r="A65" s="56"/>
    </row>
    <row r="66" spans="1:1">
      <c r="A66" s="56"/>
    </row>
    <row r="67" spans="1:1">
      <c r="A67" s="56"/>
    </row>
    <row r="68" spans="1:1">
      <c r="A68" s="56"/>
    </row>
    <row r="69" spans="1:1">
      <c r="A69" s="56"/>
    </row>
    <row r="70" spans="1:1">
      <c r="A70" s="56"/>
    </row>
    <row r="71" spans="1:1">
      <c r="A71" s="56"/>
    </row>
    <row r="72" spans="1:1">
      <c r="A72" s="56"/>
    </row>
    <row r="73" spans="1:1">
      <c r="A73" s="56"/>
    </row>
    <row r="74" spans="1:1">
      <c r="A74" s="56"/>
    </row>
    <row r="75" spans="1:1">
      <c r="A75" s="56"/>
    </row>
    <row r="76" spans="1:1">
      <c r="A76" s="56"/>
    </row>
    <row r="77" spans="1:1">
      <c r="A77" s="56"/>
    </row>
    <row r="78" spans="1:1">
      <c r="A78" s="56"/>
    </row>
    <row r="79" spans="1:1">
      <c r="A79" s="56"/>
    </row>
    <row r="80" spans="1:1">
      <c r="A80" s="5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PACOTES</vt:lpstr>
      <vt:lpstr>CADASTRO</vt:lpstr>
      <vt:lpstr>EQUIPAMENTOS</vt:lpstr>
      <vt:lpstr>GRÁFICO VENDAS</vt:lpstr>
      <vt:lpstr>MACRO_FILTRO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Edmir Rabello</dc:creator>
  <cp:lastModifiedBy>Edmir Rabello</cp:lastModifiedBy>
  <dcterms:created xsi:type="dcterms:W3CDTF">2026-07-01T14:45:31Z</dcterms:created>
  <dcterms:modified xsi:type="dcterms:W3CDTF">2026-07-01T21:11:16Z</dcterms:modified>
</cp:coreProperties>
</file>